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44CDE5AB-533D-4D16-A20A-B69ADFC4D190}" xr6:coauthVersionLast="47" xr6:coauthVersionMax="47" xr10:uidLastSave="{00000000-0000-0000-0000-000000000000}"/>
  <bookViews>
    <workbookView xWindow="-108" yWindow="-108" windowWidth="23256" windowHeight="12456" xr2:uid="{F9CCBCB6-C144-4C13-9BF8-37DACA508F84}"/>
  </bookViews>
  <sheets>
    <sheet name="Sales by region chart" sheetId="2" r:id="rId1"/>
    <sheet name="Sales by product chart" sheetId="3" r:id="rId2"/>
    <sheet name="Profit by Region Chart " sheetId="4" r:id="rId3"/>
    <sheet name="Sales Performance Dashboard2024" sheetId="1" r:id="rId4"/>
  </sheets>
  <definedNames>
    <definedName name="Slicer_Order_Date">#N/A</definedName>
    <definedName name="Slicer_Product_Category">#N/A</definedName>
    <definedName name="Slicer_Product_Name">#N/A</definedName>
    <definedName name="Slicer_Region">#N/A</definedName>
    <definedName name="Slicer_Sales">#N/A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V3" i="1" l="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7" i="1"/>
  <c r="V78" i="1"/>
  <c r="V79" i="1"/>
  <c r="V80" i="1"/>
  <c r="V81" i="1"/>
  <c r="V82" i="1"/>
  <c r="V83" i="1"/>
  <c r="V84" i="1"/>
  <c r="V85" i="1"/>
  <c r="V86" i="1"/>
  <c r="V87" i="1"/>
  <c r="V88" i="1"/>
  <c r="V89" i="1"/>
  <c r="V90" i="1"/>
  <c r="V91" i="1"/>
  <c r="V92" i="1"/>
  <c r="V93" i="1"/>
  <c r="V94" i="1"/>
  <c r="V95" i="1"/>
  <c r="V96" i="1"/>
  <c r="V97" i="1"/>
  <c r="V98" i="1"/>
  <c r="V99" i="1"/>
  <c r="V100" i="1"/>
  <c r="V2" i="1"/>
</calcChain>
</file>

<file path=xl/sharedStrings.xml><?xml version="1.0" encoding="utf-8"?>
<sst xmlns="http://schemas.openxmlformats.org/spreadsheetml/2006/main" count="1233" uniqueCount="279">
  <si>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</si>
  <si>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</si>
  <si>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</si>
  <si>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</si>
  <si>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</si>
  <si>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</si>
  <si>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</si>
  <si>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</si>
  <si>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</si>
  <si>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</si>
  <si>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</si>
  <si>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</si>
  <si>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</si>
  <si>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</si>
  <si>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</si>
  <si>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</si>
  <si>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</si>
  <si>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</si>
  <si>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</si>
  <si>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</si>
  <si>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</si>
  <si>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</si>
  <si>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</si>
  <si>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</si>
  <si>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</si>
  <si>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</si>
  <si>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</si>
  <si>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</si>
  <si>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</si>
  <si>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</si>
  <si>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</si>
  <si>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</si>
  <si>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</si>
  <si>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</si>
  <si>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</si>
  <si>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</si>
  <si>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</si>
  <si>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</si>
  <si>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</si>
  <si>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</si>
  <si>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</si>
  <si>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</si>
  <si>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</si>
  <si>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</si>
  <si>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</si>
  <si>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</si>
  <si>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</si>
  <si>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</si>
  <si>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</si>
  <si>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</si>
  <si>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</si>
  <si>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</si>
  <si>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</si>
  <si>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</si>
  <si>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</si>
  <si>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</si>
  <si>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</si>
  <si>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</si>
  <si>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</si>
  <si>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</si>
  <si>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</si>
  <si>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</si>
  <si>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</si>
  <si>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</si>
  <si>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</si>
  <si>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</si>
  <si>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</si>
  <si>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</si>
  <si>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</si>
  <si>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</si>
  <si>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</si>
  <si>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</si>
  <si>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</si>
  <si>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</si>
  <si>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</si>
  <si>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</si>
  <si>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</si>
  <si>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</si>
  <si>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</si>
  <si>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</si>
  <si>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</si>
  <si>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</si>
  <si>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</si>
  <si>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</si>
  <si>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</si>
  <si>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</si>
  <si>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</si>
  <si>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</si>
  <si>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</si>
  <si>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</si>
  <si>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</si>
  <si>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</si>
  <si>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</si>
  <si>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</si>
  <si>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</si>
  <si>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</si>
  <si>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</si>
  <si>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</si>
  <si>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</si>
  <si>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</si>
  <si>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</si>
  <si>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</si>
  <si>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</si>
  <si>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</si>
  <si>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</si>
  <si>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</si>
  <si>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</si>
  <si>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</si>
  <si>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</si>
  <si>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</si>
  <si>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</si>
  <si>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</si>
  <si>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</si>
  <si>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</si>
  <si>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</si>
  <si>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</si>
  <si>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</si>
  <si>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</si>
  <si>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</si>
  <si>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</si>
  <si>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</si>
  <si>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</si>
  <si>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</si>
  <si>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</si>
  <si>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</si>
  <si>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</si>
  <si>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</si>
  <si>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</si>
  <si>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</si>
  <si>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</si>
  <si>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</si>
  <si>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</si>
  <si>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</si>
  <si>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</si>
  <si>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</si>
  <si>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</si>
  <si>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</si>
  <si>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</si>
  <si>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</si>
  <si>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</si>
  <si>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</si>
  <si>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</si>
  <si>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</si>
  <si>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</si>
  <si>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</si>
  <si>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</si>
  <si>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</si>
  <si>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</si>
  <si>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</si>
  <si>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</si>
  <si>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</si>
  <si>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</si>
  <si>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</si>
  <si>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</si>
  <si>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</si>
  <si>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</si>
  <si>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</si>
  <si>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</si>
  <si>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</si>
  <si>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</si>
  <si>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</si>
  <si>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</si>
  <si>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</si>
  <si>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</si>
  <si>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</si>
  <si>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</si>
  <si>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</si>
  <si>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</si>
  <si>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</si>
  <si>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</si>
  <si>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</si>
  <si>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</si>
  <si>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</si>
  <si>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</si>
  <si>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</si>
  <si>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</si>
  <si>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</si>
  <si>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</si>
  <si>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</si>
  <si>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</si>
  <si>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</si>
  <si>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</si>
  <si>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</si>
  <si>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</si>
  <si>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</si>
  <si>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</si>
  <si>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</si>
  <si>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</si>
  <si>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</si>
  <si>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</si>
  <si>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</si>
  <si>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</si>
  <si>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</si>
  <si>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</si>
  <si>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</si>
  <si>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</si>
  <si>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</si>
  <si>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</si>
  <si>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</si>
  <si>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</si>
  <si>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</si>
  <si>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</si>
  <si>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</si>
  <si>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</si>
  <si>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</si>
  <si>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</si>
  <si>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</si>
  <si>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</si>
  <si>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</si>
  <si>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</si>
  <si>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</si>
  <si>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</si>
  <si>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</si>
  <si>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</si>
  <si>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</si>
  <si>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</si>
  <si>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</si>
  <si>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</si>
  <si>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</si>
  <si>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</si>
  <si>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</si>
  <si>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</si>
  <si>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</si>
  <si>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</si>
  <si>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</si>
  <si>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</si>
  <si>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</si>
  <si>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</si>
  <si>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</si>
  <si>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</si>
  <si>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</si>
  <si>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</si>
  <si>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</si>
  <si>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</si>
  <si>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</si>
  <si>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</si>
  <si>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</si>
  <si>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</si>
  <si>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</si>
  <si>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</si>
  <si>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</si>
  <si>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</si>
  <si>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</si>
  <si>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</si>
  <si>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</si>
  <si>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</si>
  <si>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</si>
  <si>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</si>
  <si>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</si>
  <si>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</si>
  <si>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</si>
  <si>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</si>
  <si>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</si>
  <si>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</si>
  <si>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</si>
  <si>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</si>
  <si>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</si>
  <si>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</si>
  <si>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</si>
  <si>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</si>
  <si>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</si>
  <si>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</si>
  <si>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</si>
  <si>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</si>
  <si>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</si>
  <si>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</si>
  <si>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</si>
  <si>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</si>
  <si>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</si>
  <si>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</si>
  <si>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</si>
  <si>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</si>
  <si>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</si>
  <si>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</si>
  <si>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Sum of Row ID</t>
  </si>
  <si>
    <t>Row Labels</t>
  </si>
  <si>
    <t>Grand Total</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</si>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</sst>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b/>
      <sz val="12"/>
      <name val="MS Sans Serif"/>
      <family val="2"/>
    </font>
  </fonts>
  <fills count="3">
    <fill>
      <patternFill patternType="none"/>
    </fill>
    <fill>
      <patternFill patternType="gray125"/>
    </fill>
    <fill>
      <patternFill patternType="solid">
        <fgColor theme="4"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
    <xf numFmtId="0" fontId="0" fillId="0" borderId="0" xfId="0"/>
    <xf numFmtId="0" fontId="0" fillId="0" borderId="1" xfId="0" applyBorder="1"/>
    <xf numFmtId="14" fontId="0" fillId="0" borderId="1" xfId="0" applyNumberFormat="1" applyBorder="1"/>
    <xf numFmtId="0" fontId="0" fillId="0" borderId="2" xfId="0" applyBorder="1"/>
    <xf numFmtId="14" fontId="0" fillId="0" borderId="2" xfId="0" applyNumberFormat="1" applyBorder="1"/>
    <xf numFmtId="0" fontId="1" fillId="2" borderId="1" xfId="0" applyFont="1" applyFill="1" applyBorder="1"/>
    <xf numFmtId="0" fontId="2" fillId="2" borderId="1" xfId="0" applyFont="1" applyFill="1" applyBorder="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analysis.xlsx]Sales by region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 chart'!$B$3</c:f>
              <c:strCache>
                <c:ptCount val="1"/>
                <c:pt idx="0">
                  <c:v>Sum of Row ID</c:v>
                </c:pt>
              </c:strCache>
            </c:strRef>
          </c:tx>
          <c:spPr>
            <a:solidFill>
              <a:schemeClr val="accent1"/>
            </a:solidFill>
            <a:ln>
              <a:noFill/>
            </a:ln>
            <a:effectLst/>
          </c:spPr>
          <c:invertIfNegative val="0"/>
          <c:cat>
            <c:multiLvlStrRef>
              <c:f>'Sales by region chart'!$A$4:$A$12</c:f>
              <c:multiLvlStrCache>
                <c:ptCount val="4"/>
                <c:lvl>
                  <c:pt idx="0">
                    <c:v>Technology</c:v>
                  </c:pt>
                  <c:pt idx="1">
                    <c:v>Technology</c:v>
                  </c:pt>
                  <c:pt idx="2">
                    <c:v>Technology</c:v>
                  </c:pt>
                  <c:pt idx="3">
                    <c:v>Technology</c:v>
                  </c:pt>
                </c:lvl>
                <c:lvl>
                  <c:pt idx="0">
                    <c:v>Central</c:v>
                  </c:pt>
                  <c:pt idx="1">
                    <c:v>East</c:v>
                  </c:pt>
                  <c:pt idx="2">
                    <c:v>South</c:v>
                  </c:pt>
                  <c:pt idx="3">
                    <c:v>West</c:v>
                  </c:pt>
                </c:lvl>
              </c:multiLvlStrCache>
            </c:multiLvlStrRef>
          </c:cat>
          <c:val>
            <c:numRef>
              <c:f>'Sales by region chart'!$B$4:$B$12</c:f>
              <c:numCache>
                <c:formatCode>General</c:formatCode>
                <c:ptCount val="4"/>
                <c:pt idx="0">
                  <c:v>30489</c:v>
                </c:pt>
                <c:pt idx="1">
                  <c:v>51319</c:v>
                </c:pt>
                <c:pt idx="2">
                  <c:v>143985</c:v>
                </c:pt>
                <c:pt idx="3">
                  <c:v>254020</c:v>
                </c:pt>
              </c:numCache>
            </c:numRef>
          </c:val>
          <c:extLst>
            <c:ext xmlns:c16="http://schemas.microsoft.com/office/drawing/2014/chart" uri="{C3380CC4-5D6E-409C-BE32-E72D297353CC}">
              <c16:uniqueId val="{00000000-AE2C-42C6-8F3B-11D402C9BE6C}"/>
            </c:ext>
          </c:extLst>
        </c:ser>
        <c:ser>
          <c:idx val="1"/>
          <c:order val="1"/>
          <c:tx>
            <c:strRef>
              <c:f>'Sales by region chart'!$C$3</c:f>
              <c:strCache>
                <c:ptCount val="1"/>
                <c:pt idx="0">
                  <c:v>Sum of Sales</c:v>
                </c:pt>
              </c:strCache>
            </c:strRef>
          </c:tx>
          <c:spPr>
            <a:solidFill>
              <a:schemeClr val="accent2"/>
            </a:solidFill>
            <a:ln>
              <a:noFill/>
            </a:ln>
            <a:effectLst/>
          </c:spPr>
          <c:invertIfNegative val="0"/>
          <c:cat>
            <c:multiLvlStrRef>
              <c:f>'Sales by region chart'!$A$4:$A$12</c:f>
              <c:multiLvlStrCache>
                <c:ptCount val="4"/>
                <c:lvl>
                  <c:pt idx="0">
                    <c:v>Technology</c:v>
                  </c:pt>
                  <c:pt idx="1">
                    <c:v>Technology</c:v>
                  </c:pt>
                  <c:pt idx="2">
                    <c:v>Technology</c:v>
                  </c:pt>
                  <c:pt idx="3">
                    <c:v>Technology</c:v>
                  </c:pt>
                </c:lvl>
                <c:lvl>
                  <c:pt idx="0">
                    <c:v>Central</c:v>
                  </c:pt>
                  <c:pt idx="1">
                    <c:v>East</c:v>
                  </c:pt>
                  <c:pt idx="2">
                    <c:v>South</c:v>
                  </c:pt>
                  <c:pt idx="3">
                    <c:v>West</c:v>
                  </c:pt>
                </c:lvl>
              </c:multiLvlStrCache>
            </c:multiLvlStrRef>
          </c:cat>
          <c:val>
            <c:numRef>
              <c:f>'Sales by region chart'!$C$4:$C$12</c:f>
              <c:numCache>
                <c:formatCode>General</c:formatCode>
                <c:ptCount val="4"/>
                <c:pt idx="0">
                  <c:v>4616.96</c:v>
                </c:pt>
                <c:pt idx="1">
                  <c:v>3397.19</c:v>
                </c:pt>
                <c:pt idx="2">
                  <c:v>10632.739999999998</c:v>
                </c:pt>
                <c:pt idx="3">
                  <c:v>15683.66</c:v>
                </c:pt>
              </c:numCache>
            </c:numRef>
          </c:val>
          <c:extLst>
            <c:ext xmlns:c16="http://schemas.microsoft.com/office/drawing/2014/chart" uri="{C3380CC4-5D6E-409C-BE32-E72D297353CC}">
              <c16:uniqueId val="{00000002-AE2C-42C6-8F3B-11D402C9BE6C}"/>
            </c:ext>
          </c:extLst>
        </c:ser>
        <c:dLbls>
          <c:showLegendKey val="0"/>
          <c:showVal val="0"/>
          <c:showCatName val="0"/>
          <c:showSerName val="0"/>
          <c:showPercent val="0"/>
          <c:showBubbleSize val="0"/>
        </c:dLbls>
        <c:gapWidth val="219"/>
        <c:axId val="756941408"/>
        <c:axId val="756943328"/>
      </c:barChart>
      <c:catAx>
        <c:axId val="756941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943328"/>
        <c:crosses val="autoZero"/>
        <c:auto val="1"/>
        <c:lblAlgn val="ctr"/>
        <c:lblOffset val="100"/>
        <c:noMultiLvlLbl val="0"/>
      </c:catAx>
      <c:valAx>
        <c:axId val="756943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94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analysis.xlsx]Sales by product chart!PivotTable2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 by product chart'!$B$3</c:f>
              <c:strCache>
                <c:ptCount val="1"/>
                <c:pt idx="0">
                  <c:v>Sum of Row 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product chart'!$A$4:$A$5</c:f>
              <c:strCache>
                <c:ptCount val="1"/>
                <c:pt idx="0">
                  <c:v>Technology</c:v>
                </c:pt>
              </c:strCache>
            </c:strRef>
          </c:cat>
          <c:val>
            <c:numRef>
              <c:f>'Sales by product chart'!$B$4:$B$5</c:f>
              <c:numCache>
                <c:formatCode>General</c:formatCode>
                <c:ptCount val="1"/>
                <c:pt idx="0">
                  <c:v>479813</c:v>
                </c:pt>
              </c:numCache>
            </c:numRef>
          </c:val>
          <c:extLst>
            <c:ext xmlns:c16="http://schemas.microsoft.com/office/drawing/2014/chart" uri="{C3380CC4-5D6E-409C-BE32-E72D297353CC}">
              <c16:uniqueId val="{00000000-026B-4543-B392-250844881E87}"/>
            </c:ext>
          </c:extLst>
        </c:ser>
        <c:ser>
          <c:idx val="1"/>
          <c:order val="1"/>
          <c:tx>
            <c:strRef>
              <c:f>'Sales by product chart'!$C$3</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product chart'!$A$4:$A$5</c:f>
              <c:strCache>
                <c:ptCount val="1"/>
                <c:pt idx="0">
                  <c:v>Technology</c:v>
                </c:pt>
              </c:strCache>
            </c:strRef>
          </c:cat>
          <c:val>
            <c:numRef>
              <c:f>'Sales by product chart'!$C$4:$C$5</c:f>
              <c:numCache>
                <c:formatCode>General</c:formatCode>
                <c:ptCount val="1"/>
                <c:pt idx="0">
                  <c:v>34330.549999999996</c:v>
                </c:pt>
              </c:numCache>
            </c:numRef>
          </c:val>
          <c:extLst>
            <c:ext xmlns:c16="http://schemas.microsoft.com/office/drawing/2014/chart" uri="{C3380CC4-5D6E-409C-BE32-E72D297353CC}">
              <c16:uniqueId val="{00000001-026B-4543-B392-250844881E8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analysis.xlsx]Profit by Region Chart !PivotTable3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Region Chart '!$B$3</c:f>
              <c:strCache>
                <c:ptCount val="1"/>
                <c:pt idx="0">
                  <c:v>Total</c:v>
                </c:pt>
              </c:strCache>
            </c:strRef>
          </c:tx>
          <c:spPr>
            <a:solidFill>
              <a:schemeClr val="accent1"/>
            </a:solidFill>
            <a:ln>
              <a:noFill/>
            </a:ln>
            <a:effectLst/>
          </c:spPr>
          <c:invertIfNegative val="0"/>
          <c:cat>
            <c:strRef>
              <c:f>'Profit by Region Chart '!$A$4</c:f>
              <c:strCache>
                <c:ptCount val="1"/>
                <c:pt idx="0">
                  <c:v>Grand Total</c:v>
                </c:pt>
              </c:strCache>
            </c:strRef>
          </c:cat>
          <c:val>
            <c:numRef>
              <c:f>'Profit by Region Chart '!$B$4</c:f>
              <c:numCache>
                <c:formatCode>General</c:formatCode>
                <c:ptCount val="1"/>
              </c:numCache>
            </c:numRef>
          </c:val>
          <c:extLst>
            <c:ext xmlns:c16="http://schemas.microsoft.com/office/drawing/2014/chart" uri="{C3380CC4-5D6E-409C-BE32-E72D297353CC}">
              <c16:uniqueId val="{00000000-C386-4824-B1E9-CDA848780F9A}"/>
            </c:ext>
          </c:extLst>
        </c:ser>
        <c:dLbls>
          <c:showLegendKey val="0"/>
          <c:showVal val="0"/>
          <c:showCatName val="0"/>
          <c:showSerName val="0"/>
          <c:showPercent val="0"/>
          <c:showBubbleSize val="0"/>
        </c:dLbls>
        <c:gapWidth val="219"/>
        <c:overlap val="-27"/>
        <c:axId val="761782112"/>
        <c:axId val="761784032"/>
      </c:barChart>
      <c:catAx>
        <c:axId val="76178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784032"/>
        <c:crosses val="autoZero"/>
        <c:auto val="1"/>
        <c:lblAlgn val="ctr"/>
        <c:lblOffset val="100"/>
        <c:noMultiLvlLbl val="0"/>
      </c:catAx>
      <c:valAx>
        <c:axId val="76178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78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15240</xdr:colOff>
      <xdr:row>5</xdr:row>
      <xdr:rowOff>121920</xdr:rowOff>
    </xdr:from>
    <xdr:to>
      <xdr:col>11</xdr:col>
      <xdr:colOff>434340</xdr:colOff>
      <xdr:row>22</xdr:row>
      <xdr:rowOff>171450</xdr:rowOff>
    </xdr:to>
    <xdr:graphicFrame macro="">
      <xdr:nvGraphicFramePr>
        <xdr:cNvPr id="2" name="Chart 1">
          <a:extLst>
            <a:ext uri="{FF2B5EF4-FFF2-40B4-BE49-F238E27FC236}">
              <a16:creationId xmlns:a16="http://schemas.microsoft.com/office/drawing/2014/main" id="{527FAC9F-087C-5D1F-2D02-6D981FAE36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167640</xdr:rowOff>
    </xdr:from>
    <xdr:to>
      <xdr:col>13</xdr:col>
      <xdr:colOff>327660</xdr:colOff>
      <xdr:row>22</xdr:row>
      <xdr:rowOff>171450</xdr:rowOff>
    </xdr:to>
    <xdr:graphicFrame macro="">
      <xdr:nvGraphicFramePr>
        <xdr:cNvPr id="2" name="Chart 1">
          <a:extLst>
            <a:ext uri="{FF2B5EF4-FFF2-40B4-BE49-F238E27FC236}">
              <a16:creationId xmlns:a16="http://schemas.microsoft.com/office/drawing/2014/main" id="{369E4CF8-60CC-43C2-FF89-EE049E4BA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220980</xdr:colOff>
      <xdr:row>7</xdr:row>
      <xdr:rowOff>171450</xdr:rowOff>
    </xdr:from>
    <xdr:to>
      <xdr:col>11</xdr:col>
      <xdr:colOff>525780</xdr:colOff>
      <xdr:row>22</xdr:row>
      <xdr:rowOff>171450</xdr:rowOff>
    </xdr:to>
    <xdr:graphicFrame macro="">
      <xdr:nvGraphicFramePr>
        <xdr:cNvPr id="2" name="Chart 1">
          <a:extLst>
            <a:ext uri="{FF2B5EF4-FFF2-40B4-BE49-F238E27FC236}">
              <a16:creationId xmlns:a16="http://schemas.microsoft.com/office/drawing/2014/main" id="{958DF0B5-5070-EED6-117A-521BD4CF1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0</xdr:colOff>
      <xdr:row>16</xdr:row>
      <xdr:rowOff>83820</xdr:rowOff>
    </xdr:from>
    <xdr:to>
      <xdr:col>21</xdr:col>
      <xdr:colOff>0</xdr:colOff>
      <xdr:row>29</xdr:row>
      <xdr:rowOff>173355</xdr:rowOff>
    </xdr:to>
    <mc:AlternateContent xmlns:mc="http://schemas.openxmlformats.org/markup-compatibility/2006">
      <mc:Choice xmlns:a14="http://schemas.microsoft.com/office/drawing/2010/main" Requires="a14">
        <xdr:graphicFrame macro="">
          <xdr:nvGraphicFramePr>
            <xdr:cNvPr id="4" name="Product Name">
              <a:extLst>
                <a:ext uri="{FF2B5EF4-FFF2-40B4-BE49-F238E27FC236}">
                  <a16:creationId xmlns:a16="http://schemas.microsoft.com/office/drawing/2014/main" id="{2CB7B41E-7078-364A-6739-54A361F165A3}"/>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11445240" y="3009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91440</xdr:colOff>
      <xdr:row>1</xdr:row>
      <xdr:rowOff>167640</xdr:rowOff>
    </xdr:from>
    <xdr:to>
      <xdr:col>21</xdr:col>
      <xdr:colOff>91440</xdr:colOff>
      <xdr:row>15</xdr:row>
      <xdr:rowOff>74295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C7D88749-9DBD-C5A2-A727-B6174EBD716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536680" y="350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26</xdr:col>
      <xdr:colOff>205740</xdr:colOff>
      <xdr:row>71</xdr:row>
      <xdr:rowOff>38101</xdr:rowOff>
    </xdr:from>
    <xdr:to>
      <xdr:col>27</xdr:col>
      <xdr:colOff>388620</xdr:colOff>
      <xdr:row>75</xdr:row>
      <xdr:rowOff>30480</xdr:rowOff>
    </xdr:to>
    <mc:AlternateContent xmlns:mc="http://schemas.openxmlformats.org/markup-compatibility/2006">
      <mc:Choice xmlns:a14="http://schemas.microsoft.com/office/drawing/2010/main" Requires="a14">
        <xdr:graphicFrame macro="">
          <xdr:nvGraphicFramePr>
            <xdr:cNvPr id="5" name="Sales">
              <a:extLst>
                <a:ext uri="{FF2B5EF4-FFF2-40B4-BE49-F238E27FC236}">
                  <a16:creationId xmlns:a16="http://schemas.microsoft.com/office/drawing/2014/main" id="{076A5946-6F26-4144-9D69-A073F7B74839}"/>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27622500" y="13037821"/>
              <a:ext cx="792480" cy="723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167640</xdr:colOff>
      <xdr:row>65</xdr:row>
      <xdr:rowOff>167641</xdr:rowOff>
    </xdr:from>
    <xdr:to>
      <xdr:col>27</xdr:col>
      <xdr:colOff>281940</xdr:colOff>
      <xdr:row>69</xdr:row>
      <xdr:rowOff>22861</xdr:rowOff>
    </xdr:to>
    <mc:AlternateContent xmlns:mc="http://schemas.openxmlformats.org/markup-compatibility/2006">
      <mc:Choice xmlns:a14="http://schemas.microsoft.com/office/drawing/2010/main" Requires="a14">
        <xdr:graphicFrame macro="">
          <xdr:nvGraphicFramePr>
            <xdr:cNvPr id="6" name="Order Date">
              <a:extLst>
                <a:ext uri="{FF2B5EF4-FFF2-40B4-BE49-F238E27FC236}">
                  <a16:creationId xmlns:a16="http://schemas.microsoft.com/office/drawing/2014/main" id="{3BBF1B61-C77B-42FD-8850-4AFEC5129EAE}"/>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27584400" y="12070081"/>
              <a:ext cx="723900" cy="586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7620</xdr:colOff>
      <xdr:row>74</xdr:row>
      <xdr:rowOff>60961</xdr:rowOff>
    </xdr:from>
    <xdr:to>
      <xdr:col>30</xdr:col>
      <xdr:colOff>358140</xdr:colOff>
      <xdr:row>77</xdr:row>
      <xdr:rowOff>83821</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41B47E72-E3AB-4843-ACD8-6000C1C4B81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9253180" y="13609321"/>
              <a:ext cx="960120" cy="57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60960</xdr:colOff>
      <xdr:row>69</xdr:row>
      <xdr:rowOff>7621</xdr:rowOff>
    </xdr:from>
    <xdr:to>
      <xdr:col>30</xdr:col>
      <xdr:colOff>205740</xdr:colOff>
      <xdr:row>72</xdr:row>
      <xdr:rowOff>121921</xdr:rowOff>
    </xdr:to>
    <mc:AlternateContent xmlns:mc="http://schemas.openxmlformats.org/markup-compatibility/2006">
      <mc:Choice xmlns:a14="http://schemas.microsoft.com/office/drawing/2010/main" Requires="a14">
        <xdr:graphicFrame macro="">
          <xdr:nvGraphicFramePr>
            <xdr:cNvPr id="8" name="Product Name 1">
              <a:extLst>
                <a:ext uri="{FF2B5EF4-FFF2-40B4-BE49-F238E27FC236}">
                  <a16:creationId xmlns:a16="http://schemas.microsoft.com/office/drawing/2014/main" id="{C88AEFA3-7527-4950-9A9B-AD7D42C99BD4}"/>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dr:sp macro="" textlink="">
          <xdr:nvSpPr>
            <xdr:cNvPr id="0" name=""/>
            <xdr:cNvSpPr>
              <a:spLocks noTextEdit="1"/>
            </xdr:cNvSpPr>
          </xdr:nvSpPr>
          <xdr:spPr>
            <a:xfrm>
              <a:off x="29306520" y="12641581"/>
              <a:ext cx="754380" cy="662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68580</xdr:colOff>
      <xdr:row>65</xdr:row>
      <xdr:rowOff>76201</xdr:rowOff>
    </xdr:from>
    <xdr:to>
      <xdr:col>30</xdr:col>
      <xdr:colOff>198120</xdr:colOff>
      <xdr:row>67</xdr:row>
      <xdr:rowOff>137161</xdr:rowOff>
    </xdr:to>
    <mc:AlternateContent xmlns:mc="http://schemas.openxmlformats.org/markup-compatibility/2006">
      <mc:Choice xmlns:a14="http://schemas.microsoft.com/office/drawing/2010/main" Requires="a14">
        <xdr:graphicFrame macro="">
          <xdr:nvGraphicFramePr>
            <xdr:cNvPr id="9" name="Product Category">
              <a:extLst>
                <a:ext uri="{FF2B5EF4-FFF2-40B4-BE49-F238E27FC236}">
                  <a16:creationId xmlns:a16="http://schemas.microsoft.com/office/drawing/2014/main" id="{2FC26672-F50C-4E06-926D-B67DA212D10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29314140" y="11978641"/>
              <a:ext cx="739140" cy="426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in" refreshedDate="46085.76984375" createdVersion="8" refreshedVersion="8" minRefreshableVersion="3" recordCount="99" xr:uid="{2B63DCF9-F7C4-4764-A833-6FBB0A750F2E}">
  <cacheSource type="worksheet">
    <worksheetSource ref="A1:Y100" sheet="Sales Performance Dashboard2024"/>
  </cacheSource>
  <cacheFields count="25">
    <cacheField name="Row ID" numFmtId="0">
      <sharedItems containsSemiMixedTypes="0" containsString="0" containsNumber="1" containsInteger="1" minValue="494" maxValue="26268"/>
    </cacheField>
    <cacheField name="Order Priority" numFmtId="0">
      <sharedItems count="5">
        <s v="High"/>
        <s v="Not Specified"/>
        <s v="Critical"/>
        <s v="Medium"/>
        <s v="Low"/>
      </sharedItems>
    </cacheField>
    <cacheField name="Discount" numFmtId="0">
      <sharedItems containsSemiMixedTypes="0" containsString="0" containsNumber="1" minValue="0" maxValue="0.1"/>
    </cacheField>
    <cacheField name="Unit Price" numFmtId="0">
      <sharedItems containsSemiMixedTypes="0" containsString="0" containsNumber="1" minValue="1.68" maxValue="3502.14"/>
    </cacheField>
    <cacheField name="Shipping Cost" numFmtId="0">
      <sharedItems containsSemiMixedTypes="0" containsString="0" containsNumber="1" minValue="0.5" maxValue="70.2"/>
    </cacheField>
    <cacheField name="Customer ID" numFmtId="0">
      <sharedItems containsSemiMixedTypes="0" containsString="0" containsNumber="1" containsInteger="1" minValue="3" maxValue="171"/>
    </cacheField>
    <cacheField name="Customer Name" numFmtId="0">
      <sharedItems/>
    </cacheField>
    <cacheField name="Ship Mode" numFmtId="0">
      <sharedItems/>
    </cacheField>
    <cacheField name="Customer Segment" numFmtId="0">
      <sharedItems/>
    </cacheField>
    <cacheField name="Product Category" numFmtId="0">
      <sharedItems count="3">
        <s v="Office Supplies"/>
        <s v="Furniture"/>
        <s v="Technology"/>
      </sharedItems>
    </cacheField>
    <cacheField name="Product Sub-Category" numFmtId="0">
      <sharedItems/>
    </cacheField>
    <cacheField name="Product Container" numFmtId="0">
      <sharedItems/>
    </cacheField>
    <cacheField name="Product Name" numFmtId="0">
      <sharedItems count="84">
        <s v="SANFORD Liquid Accent™ Tank-Style Highlighters"/>
        <s v="Global Troy™ Executive Leather Low-Back Tilter"/>
        <s v="DAX Two-Tone Rosewood/Black Document Frame, Desktop, 5 x 7"/>
        <s v="Howard Miller 12-3/4 Diameter Accuwave DS ™ Wall Clock"/>
        <s v="Newell 321"/>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s v="6160"/>
        <s v="Okidata Pacemark 4410N Wide Format Dot Matrix Printer"/>
        <s v="Xerox 1903"/>
        <s v="Durable Pressboard Binders"/>
        <s v="Newell 310"/>
        <s v="Xerox 193"/>
        <s v="Snap-A-Way® Black Print Carbonless Speed Message, No Reply Area, Duplicate"/>
        <s v="Avery 501"/>
        <s v="5165"/>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Array® Memo Cubes"/>
        <s v="2180"/>
        <s v="REDIFORM Incoming/Outgoing Call Register, 11&quot; X 8 1/2&quot;, 100 Messages"/>
        <s v="Xerox 1897"/>
        <s v="Acme® 8&quot; Straight Scissors"/>
        <s v="Office Star - Mid Back Dual function Ergonomic High Back Chair with 2-Way Adjustable Arms"/>
        <s v="Belkin 107-key enhanced keyboard, USB/PS/2 interface"/>
        <s v="5185"/>
        <s v="Belkin 105-Key Black Keyboard"/>
        <s v="Atlantic Metals Mobile 5-Shelf Bookcases, Custom Colors"/>
        <s v="Avery Durable Binders"/>
        <s v="Dixon Prang® Watercolor Pencils, 10-Color Set with Brush"/>
        <s v="EcoTones® Memo Sheets"/>
        <s v="Fuji Slim Jewel Case CD-R"/>
        <s v="Avery 51"/>
        <s v="6185"/>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haredItems>
    </cacheField>
    <cacheField name="Product Base Margin" numFmtId="0">
      <sharedItems containsSemiMixedTypes="0" containsString="0" containsNumber="1" minValue="0.35" maxValue="0.79"/>
    </cacheField>
    <cacheField name="Country" numFmtId="0">
      <sharedItems/>
    </cacheField>
    <cacheField name="Region" numFmtId="0">
      <sharedItems count="4">
        <s v="West"/>
        <s v="East"/>
        <s v="Central"/>
        <s v="South"/>
      </sharedItems>
    </cacheField>
    <cacheField name="State or Province" numFmtId="0">
      <sharedItems/>
    </cacheField>
    <cacheField name="City" numFmtId="0">
      <sharedItems/>
    </cacheField>
    <cacheField name="Postal Code" numFmtId="0">
      <sharedItems containsSemiMixedTypes="0" containsString="0" containsNumber="1" containsInteger="1" minValue="2129" maxValue="99352"/>
    </cacheField>
    <cacheField name="Order Date" numFmtId="14">
      <sharedItems containsSemiMixedTypes="0" containsNonDate="0" containsDate="1" containsString="0" minDate="2015-01-02T00:00:00" maxDate="2015-06-23T00:00:00" count="54">
        <d v="2015-01-07T00:00:00"/>
        <d v="2015-06-13T00:00:00"/>
        <d v="2015-02-15T00:00:00"/>
        <d v="2015-05-12T00:00:00"/>
        <d v="2015-04-08T00:00:00"/>
        <d v="2015-05-28T00:00:00"/>
        <d v="2015-02-12T00:00:00"/>
        <d v="2015-05-15T00:00:00"/>
        <d v="2015-05-21T00:00:00"/>
        <d v="2015-01-28T00:00:00"/>
        <d v="2015-05-02T00:00:00"/>
        <d v="2015-02-22T00:00:00"/>
        <d v="2015-03-27T00:00:00"/>
        <d v="2015-01-20T00:00:00"/>
        <d v="2015-03-12T00:00:00"/>
        <d v="2015-06-15T00:00:00"/>
        <d v="2015-05-10T00:00:00"/>
        <d v="2015-03-10T00:00:00"/>
        <d v="2015-04-20T00:00:00"/>
        <d v="2015-05-09T00:00:00"/>
        <d v="2015-06-12T00:00:00"/>
        <d v="2015-03-02T00:00:00"/>
        <d v="2015-01-02T00:00:00"/>
        <d v="2015-02-02T00:00:00"/>
        <d v="2015-03-15T00:00:00"/>
        <d v="2015-03-30T00:00:00"/>
        <d v="2015-06-03T00:00:00"/>
        <d v="2015-03-22T00:00:00"/>
        <d v="2015-05-17T00:00:00"/>
        <d v="2015-02-18T00:00:00"/>
        <d v="2015-03-04T00:00:00"/>
        <d v="2015-06-07T00:00:00"/>
        <d v="2015-05-03T00:00:00"/>
        <d v="2015-06-22T00:00:00"/>
        <d v="2015-04-06T00:00:00"/>
        <d v="2015-01-03T00:00:00"/>
        <d v="2015-04-04T00:00:00"/>
        <d v="2015-04-09T00:00:00"/>
        <d v="2015-01-12T00:00:00"/>
        <d v="2015-01-27T00:00:00"/>
        <d v="2015-05-25T00:00:00"/>
        <d v="2015-05-16T00:00:00"/>
        <d v="2015-06-02T00:00:00"/>
        <d v="2015-01-15T00:00:00"/>
        <d v="2015-03-16T00:00:00"/>
        <d v="2015-04-23T00:00:00"/>
        <d v="2015-01-22T00:00:00"/>
        <d v="2015-04-19T00:00:00"/>
        <d v="2015-03-29T00:00:00"/>
        <d v="2015-06-18T00:00:00"/>
        <d v="2015-05-14T00:00:00"/>
        <d v="2015-01-25T00:00:00"/>
        <d v="2015-01-11T00:00:00"/>
        <d v="2015-04-13T00:00:00"/>
      </sharedItems>
    </cacheField>
    <cacheField name="Ship Date" numFmtId="14">
      <sharedItems containsSemiMixedTypes="0" containsNonDate="0" containsDate="1" containsString="0" minDate="2015-01-02T00:00:00" maxDate="2015-06-25T00:00:00"/>
    </cacheField>
    <cacheField name="Profit" numFmtId="0">
      <sharedItems containsSemiMixedTypes="0" containsString="0" containsNumber="1" minValue="-234.58999999999969" maxValue="9831.01"/>
    </cacheField>
    <cacheField name="Quantity ordered new" numFmtId="0">
      <sharedItems containsSemiMixedTypes="0" containsString="0" containsNumber="1" containsInteger="1" minValue="1" maxValue="146"/>
    </cacheField>
    <cacheField name="Sales" numFmtId="0">
      <sharedItems containsSemiMixedTypes="0" containsString="0" containsNumber="1" minValue="2.25" maxValue="10728" count="99">
        <n v="13.01"/>
        <n v="6362.85"/>
        <n v="211.15"/>
        <n v="1164.45"/>
        <n v="22.23"/>
        <n v="13.99"/>
        <n v="14.26"/>
        <n v="33.47"/>
        <n v="379.53"/>
        <n v="18.8"/>
        <n v="945.99"/>
        <n v="455.77"/>
        <n v="231.79"/>
        <n v="1876.69"/>
        <n v="293.06"/>
        <n v="914.29"/>
        <n v="67.489999999999995"/>
        <n v="2.25"/>
        <n v="54.78"/>
        <n v="424.68"/>
        <n v="40.17"/>
        <n v="783.55"/>
        <n v="3838.14"/>
        <n v="58.68"/>
        <n v="53.1"/>
        <n v="647.07000000000005"/>
        <n v="627.04"/>
        <n v="3267.55"/>
        <n v="110.19"/>
        <n v="73.55"/>
        <n v="29.57"/>
        <n v="22.85"/>
        <n v="506.39"/>
        <n v="4"/>
        <n v="589.79999999999995"/>
        <n v="1225.5999999999999"/>
        <n v="1239.06"/>
        <n v="4083.19"/>
        <n v="4902.38"/>
        <n v="5718.85"/>
        <n v="1400.53"/>
        <n v="1821.89"/>
        <n v="90.98"/>
        <n v="10728"/>
        <n v="3127.69"/>
        <n v="41.82"/>
        <n v="2875.72"/>
        <n v="170.8"/>
        <n v="53.54"/>
        <n v="3363.53"/>
        <n v="132.08000000000001"/>
        <n v="45.34"/>
        <n v="216.04"/>
        <n v="6276.34"/>
        <n v="2664.4"/>
        <n v="1526.68"/>
        <n v="1952.56"/>
        <n v="303.58999999999997"/>
        <n v="9459.94"/>
        <n v="1233.32"/>
        <n v="47.31"/>
        <n v="2441.27"/>
        <n v="11.13"/>
        <n v="29.5"/>
        <n v="58.33"/>
        <n v="20.420000000000002"/>
        <n v="26.07"/>
        <n v="122.23"/>
        <n v="228.46"/>
        <n v="77.61"/>
        <n v="99.94"/>
        <n v="59.85"/>
        <n v="1708.73"/>
        <n v="94.97"/>
        <n v="10.23"/>
        <n v="217.23"/>
        <n v="101.74"/>
        <n v="84.52"/>
        <n v="312.58999999999997"/>
        <n v="64.400000000000006"/>
        <n v="14.65"/>
        <n v="453.62"/>
        <n v="193.59"/>
        <n v="929.57"/>
        <n v="62.46"/>
        <n v="28.11"/>
        <n v="5.5"/>
        <n v="667.84"/>
        <n v="292.23"/>
        <n v="772.56"/>
        <n v="1050.08"/>
        <n v="33.82"/>
        <n v="715.55"/>
        <n v="45.63"/>
        <n v="1839.91"/>
        <n v="130.62"/>
        <n v="6945.16"/>
        <n v="30.94"/>
        <n v="3.42"/>
      </sharedItems>
    </cacheField>
    <cacheField name="Order ID" numFmtId="0">
      <sharedItems containsSemiMixedTypes="0" containsString="0" containsNumber="1" containsInteger="1" minValue="3397" maxValue="91454"/>
    </cacheField>
  </cacheFields>
  <extLst>
    <ext xmlns:x14="http://schemas.microsoft.com/office/spreadsheetml/2009/9/main" uri="{725AE2AE-9491-48be-B2B4-4EB974FC3084}">
      <x14:pivotCacheDefinition pivotCacheId="17357053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n v="20847"/>
    <x v="0"/>
    <n v="0.01"/>
    <n v="2.84"/>
    <n v="0.93"/>
    <n v="3"/>
    <s v="Bonnie Potter"/>
    <s v="Express Air"/>
    <s v="Corporate"/>
    <x v="0"/>
    <s v="Pens &amp; Art Supplies"/>
    <s v="Wrap Bag"/>
    <x v="0"/>
    <n v="0.54"/>
    <s v="United States"/>
    <x v="0"/>
    <s v="Washington"/>
    <s v="Anacortes"/>
    <n v="98221"/>
    <x v="0"/>
    <d v="2015-01-08T00:00:00"/>
    <n v="10.17"/>
    <n v="4"/>
    <x v="0"/>
    <n v="88522"/>
  </r>
  <r>
    <n v="20228"/>
    <x v="1"/>
    <n v="0.02"/>
    <n v="500.98"/>
    <n v="26"/>
    <n v="5"/>
    <s v="Ronnie Proctor"/>
    <s v="Delivery Truck"/>
    <s v="Home Office"/>
    <x v="1"/>
    <s v="Chairs &amp; Chairmats"/>
    <s v="Jumbo Drum"/>
    <x v="1"/>
    <n v="0.6"/>
    <s v="United States"/>
    <x v="0"/>
    <s v="California"/>
    <s v="San Gabriel"/>
    <n v="91776"/>
    <x v="1"/>
    <d v="2015-06-15T00:00:00"/>
    <n v="5861.8700000000008"/>
    <n v="12"/>
    <x v="1"/>
    <n v="90193"/>
  </r>
  <r>
    <n v="21776"/>
    <x v="2"/>
    <n v="0.06"/>
    <n v="9.48"/>
    <n v="7.29"/>
    <n v="11"/>
    <s v="Marcus Dunlap"/>
    <s v="Regular Air"/>
    <s v="Home Office"/>
    <x v="1"/>
    <s v="Office Furnishings"/>
    <s v="Small Pack"/>
    <x v="2"/>
    <n v="0.45"/>
    <s v="United States"/>
    <x v="1"/>
    <s v="New Jersey"/>
    <s v="Roselle"/>
    <n v="7203"/>
    <x v="2"/>
    <d v="2015-02-17T00:00:00"/>
    <n v="201.67000000000002"/>
    <n v="22"/>
    <x v="2"/>
    <n v="90192"/>
  </r>
  <r>
    <n v="24844"/>
    <x v="3"/>
    <n v="0.09"/>
    <n v="78.69"/>
    <n v="19.989999999999998"/>
    <n v="14"/>
    <s v="Gwendolyn F Tyson"/>
    <s v="Regular Air"/>
    <s v="Small Business"/>
    <x v="1"/>
    <s v="Office Furnishings"/>
    <s v="Small Box"/>
    <x v="3"/>
    <n v="0.43"/>
    <s v="United States"/>
    <x v="2"/>
    <s v="Minnesota"/>
    <s v="Prior Lake"/>
    <n v="55372"/>
    <x v="3"/>
    <d v="2015-05-14T00:00:00"/>
    <n v="1085.76"/>
    <n v="16"/>
    <x v="3"/>
    <n v="86838"/>
  </r>
  <r>
    <n v="24846"/>
    <x v="3"/>
    <n v="0.08"/>
    <n v="3.28"/>
    <n v="2.31"/>
    <n v="14"/>
    <s v="Gwendolyn F Tyson"/>
    <s v="Regular Air"/>
    <s v="Small Business"/>
    <x v="0"/>
    <s v="Pens &amp; Art Supplies"/>
    <s v="Wrap Bag"/>
    <x v="4"/>
    <n v="0.56000000000000005"/>
    <s v="United States"/>
    <x v="2"/>
    <s v="Minnesota"/>
    <s v="Prior Lake"/>
    <n v="55372"/>
    <x v="3"/>
    <d v="2015-05-13T00:00:00"/>
    <n v="18.95"/>
    <n v="7"/>
    <x v="4"/>
    <n v="86838"/>
  </r>
  <r>
    <n v="24847"/>
    <x v="3"/>
    <n v="0.05"/>
    <n v="3.28"/>
    <n v="4.2"/>
    <n v="14"/>
    <s v="Gwendolyn F Tyson"/>
    <s v="Regular Air"/>
    <s v="Small Business"/>
    <x v="0"/>
    <s v="Pens &amp; Art Supplies"/>
    <s v="Wrap Bag"/>
    <x v="5"/>
    <n v="0.56000000000000005"/>
    <s v="United States"/>
    <x v="2"/>
    <s v="Minnesota"/>
    <s v="Prior Lake"/>
    <n v="55372"/>
    <x v="3"/>
    <d v="2015-05-13T00:00:00"/>
    <n v="10.71"/>
    <n v="4"/>
    <x v="5"/>
    <n v="86838"/>
  </r>
  <r>
    <n v="24848"/>
    <x v="3"/>
    <n v="0.05"/>
    <n v="3.58"/>
    <n v="1.63"/>
    <n v="14"/>
    <s v="Gwendolyn F Tyson"/>
    <s v="Regular Air"/>
    <s v="Small Business"/>
    <x v="0"/>
    <s v="Rubber Bands"/>
    <s v="Wrap Bag"/>
    <x v="6"/>
    <n v="0.36"/>
    <s v="United States"/>
    <x v="2"/>
    <s v="Minnesota"/>
    <s v="Prior Lake"/>
    <n v="55372"/>
    <x v="3"/>
    <d v="2015-05-13T00:00:00"/>
    <n v="10.68"/>
    <n v="4"/>
    <x v="6"/>
    <n v="86838"/>
  </r>
  <r>
    <n v="18181"/>
    <x v="2"/>
    <n v="0"/>
    <n v="4.42"/>
    <n v="4.99"/>
    <n v="15"/>
    <s v="Timothy Reese"/>
    <s v="Regular Air"/>
    <s v="Small Business"/>
    <x v="0"/>
    <s v="Envelopes"/>
    <s v="Small Box"/>
    <x v="7"/>
    <n v="0.38"/>
    <s v="United States"/>
    <x v="1"/>
    <s v="New York"/>
    <s v="Smithtown"/>
    <n v="11787"/>
    <x v="4"/>
    <d v="2015-04-09T00:00:00"/>
    <n v="29.049999999999997"/>
    <n v="7"/>
    <x v="7"/>
    <n v="86837"/>
  </r>
  <r>
    <n v="20925"/>
    <x v="3"/>
    <n v="0.01"/>
    <n v="35.94"/>
    <n v="6.66"/>
    <n v="15"/>
    <s v="Timothy Reese"/>
    <s v="Regular Air"/>
    <s v="Small Business"/>
    <x v="0"/>
    <s v="Envelopes"/>
    <s v="Small Box"/>
    <x v="8"/>
    <n v="0.4"/>
    <s v="United States"/>
    <x v="1"/>
    <s v="New York"/>
    <s v="Smithtown"/>
    <n v="11787"/>
    <x v="5"/>
    <d v="2015-05-28T00:00:00"/>
    <n v="343.59"/>
    <n v="10"/>
    <x v="8"/>
    <n v="86839"/>
  </r>
  <r>
    <n v="26267"/>
    <x v="0"/>
    <n v="0.04"/>
    <n v="2.98"/>
    <n v="1.58"/>
    <n v="16"/>
    <s v="Sarah Ramsey"/>
    <s v="Regular Air"/>
    <s v="Small Business"/>
    <x v="0"/>
    <s v="Rubber Bands"/>
    <s v="Wrap Bag"/>
    <x v="9"/>
    <n v="0.39"/>
    <s v="United States"/>
    <x v="1"/>
    <s v="New York"/>
    <s v="Syracuse"/>
    <n v="13210"/>
    <x v="6"/>
    <d v="2015-02-15T00:00:00"/>
    <n v="15.82"/>
    <n v="6"/>
    <x v="9"/>
    <n v="86836"/>
  </r>
  <r>
    <n v="26268"/>
    <x v="0"/>
    <n v="0.05"/>
    <n v="115.99"/>
    <n v="2.5"/>
    <n v="16"/>
    <s v="Sarah Ramsey"/>
    <s v="Regular Air"/>
    <s v="Small Business"/>
    <x v="2"/>
    <s v="Telephones and Communication"/>
    <s v="Small Box"/>
    <x v="10"/>
    <n v="0.55000000000000004"/>
    <s v="United States"/>
    <x v="1"/>
    <s v="New York"/>
    <s v="Syracuse"/>
    <n v="13210"/>
    <x v="6"/>
    <d v="2015-02-14T00:00:00"/>
    <n v="830"/>
    <n v="10"/>
    <x v="10"/>
    <n v="86836"/>
  </r>
  <r>
    <n v="23890"/>
    <x v="0"/>
    <n v="0.05"/>
    <n v="26.48"/>
    <n v="6.93"/>
    <n v="18"/>
    <s v="Laurie Hanna"/>
    <s v="Regular Air"/>
    <s v="Small Business"/>
    <x v="1"/>
    <s v="Office Furnishings"/>
    <s v="Small Box"/>
    <x v="11"/>
    <n v="0.49"/>
    <s v="United States"/>
    <x v="0"/>
    <s v="Montana"/>
    <s v="Helena"/>
    <n v="59601"/>
    <x v="7"/>
    <d v="2015-05-16T00:00:00"/>
    <n v="429.28999999999996"/>
    <n v="17"/>
    <x v="11"/>
    <n v="90031"/>
  </r>
  <r>
    <n v="24063"/>
    <x v="1"/>
    <n v="7.0000000000000007E-2"/>
    <n v="12.99"/>
    <n v="9.44"/>
    <n v="19"/>
    <s v="Jim Rodgers"/>
    <s v="Regular Air"/>
    <s v="Small Business"/>
    <x v="2"/>
    <s v="Office Machines"/>
    <s v="Medium Box"/>
    <x v="12"/>
    <n v="0.39"/>
    <s v="United States"/>
    <x v="0"/>
    <s v="Montana"/>
    <s v="Missoula"/>
    <n v="59801"/>
    <x v="8"/>
    <d v="2015-05-23T00:00:00"/>
    <n v="218.79999999999998"/>
    <n v="18"/>
    <x v="12"/>
    <n v="90032"/>
  </r>
  <r>
    <n v="5890"/>
    <x v="0"/>
    <n v="0.05"/>
    <n v="26.48"/>
    <n v="6.93"/>
    <n v="21"/>
    <s v="Tony Wilkins Winters"/>
    <s v="Regular Air"/>
    <s v="Small Business"/>
    <x v="1"/>
    <s v="Office Furnishings"/>
    <s v="Small Box"/>
    <x v="11"/>
    <n v="0.49"/>
    <s v="United States"/>
    <x v="1"/>
    <s v="New York"/>
    <s v="New York City"/>
    <n v="10012"/>
    <x v="7"/>
    <d v="2015-05-16T00:00:00"/>
    <n v="1850.21"/>
    <n v="70"/>
    <x v="13"/>
    <n v="41793"/>
  </r>
  <r>
    <n v="6062"/>
    <x v="1"/>
    <n v="0.08"/>
    <n v="5"/>
    <n v="3.39"/>
    <n v="21"/>
    <s v="Tony Wilkins Winters"/>
    <s v="Regular Air"/>
    <s v="Small Business"/>
    <x v="0"/>
    <s v="Rubber Bands"/>
    <s v="Wrap Bag"/>
    <x v="13"/>
    <n v="0.37"/>
    <s v="United States"/>
    <x v="1"/>
    <s v="New York"/>
    <s v="New York City"/>
    <n v="10012"/>
    <x v="8"/>
    <d v="2015-05-22T00:00:00"/>
    <n v="288.06"/>
    <n v="58"/>
    <x v="14"/>
    <n v="42949"/>
  </r>
  <r>
    <n v="6063"/>
    <x v="1"/>
    <n v="7.0000000000000007E-2"/>
    <n v="12.99"/>
    <n v="9.44"/>
    <n v="21"/>
    <s v="Tony Wilkins Winters"/>
    <s v="Regular Air"/>
    <s v="Small Business"/>
    <x v="2"/>
    <s v="Office Machines"/>
    <s v="Medium Box"/>
    <x v="12"/>
    <n v="0.39"/>
    <s v="United States"/>
    <x v="1"/>
    <s v="New York"/>
    <s v="New York City"/>
    <n v="10012"/>
    <x v="8"/>
    <d v="2015-05-23T00:00:00"/>
    <n v="901.3"/>
    <n v="71"/>
    <x v="15"/>
    <n v="42949"/>
  </r>
  <r>
    <n v="20631"/>
    <x v="0"/>
    <n v="0.06"/>
    <n v="55.48"/>
    <n v="14.3"/>
    <n v="24"/>
    <s v="Edna Thomas"/>
    <s v="Regular Air"/>
    <s v="Corporate"/>
    <x v="0"/>
    <s v="Paper"/>
    <s v="Small Box"/>
    <x v="14"/>
    <n v="0.37"/>
    <s v="United States"/>
    <x v="0"/>
    <s v="California"/>
    <s v="Laguna Niguel"/>
    <n v="92677"/>
    <x v="9"/>
    <d v="2015-01-29T00:00:00"/>
    <n v="12.009999999999998"/>
    <n v="1"/>
    <x v="16"/>
    <n v="87651"/>
  </r>
  <r>
    <n v="20632"/>
    <x v="0"/>
    <n v="0.02"/>
    <n v="1.68"/>
    <n v="1.57"/>
    <n v="24"/>
    <s v="Edna Thomas"/>
    <s v="Regular Air"/>
    <s v="Corporate"/>
    <x v="0"/>
    <s v="Pens &amp; Art Supplies"/>
    <s v="Wrap Bag"/>
    <x v="15"/>
    <n v="0.59"/>
    <s v="United States"/>
    <x v="0"/>
    <s v="California"/>
    <s v="Laguna Niguel"/>
    <n v="92677"/>
    <x v="9"/>
    <d v="2015-01-30T00:00:00"/>
    <n v="0.57000000000000006"/>
    <n v="1"/>
    <x v="17"/>
    <n v="87651"/>
  </r>
  <r>
    <n v="23967"/>
    <x v="1"/>
    <n v="0.04"/>
    <n v="4.1399999999999997"/>
    <n v="6.6"/>
    <n v="27"/>
    <s v="Guy Gallagher"/>
    <s v="Regular Air"/>
    <s v="Corporate"/>
    <x v="1"/>
    <s v="Office Furnishings"/>
    <s v="Small Box"/>
    <x v="16"/>
    <n v="0.49"/>
    <s v="United States"/>
    <x v="0"/>
    <s v="California"/>
    <s v="Lakewood"/>
    <n v="90712"/>
    <x v="10"/>
    <d v="2015-05-04T00:00:00"/>
    <n v="50.64"/>
    <n v="12"/>
    <x v="18"/>
    <n v="87652"/>
  </r>
  <r>
    <n v="23509"/>
    <x v="0"/>
    <n v="0.08"/>
    <n v="34.99"/>
    <n v="7.73"/>
    <n v="32"/>
    <s v="Matthew Berman"/>
    <s v="Regular Air"/>
    <s v="Corporate"/>
    <x v="0"/>
    <s v="Pens &amp; Art Supplies"/>
    <s v="Small Box"/>
    <x v="17"/>
    <n v="0.59"/>
    <s v="United States"/>
    <x v="0"/>
    <s v="Oregon"/>
    <s v="Grants Pass"/>
    <n v="97526"/>
    <x v="11"/>
    <d v="2015-02-23T00:00:00"/>
    <n v="389.69"/>
    <n v="13"/>
    <x v="19"/>
    <n v="89199"/>
  </r>
  <r>
    <n v="23612"/>
    <x v="0"/>
    <n v="0.01"/>
    <n v="17.98"/>
    <n v="8.51"/>
    <n v="32"/>
    <s v="Matthew Berman"/>
    <s v="Regular Air"/>
    <s v="Corporate"/>
    <x v="2"/>
    <s v="Office Machines"/>
    <s v="Medium Box"/>
    <x v="18"/>
    <n v="0.4"/>
    <s v="United States"/>
    <x v="0"/>
    <s v="Oregon"/>
    <s v="Grants Pass"/>
    <n v="97526"/>
    <x v="12"/>
    <d v="2015-03-28T00:00:00"/>
    <n v="22.19"/>
    <n v="2"/>
    <x v="20"/>
    <n v="89200"/>
  </r>
  <r>
    <n v="23278"/>
    <x v="3"/>
    <n v="0.09"/>
    <n v="125.99"/>
    <n v="7.69"/>
    <n v="32"/>
    <s v="Matthew Berman"/>
    <s v="Express Air"/>
    <s v="Corporate"/>
    <x v="2"/>
    <s v="Telephones and Communication"/>
    <s v="Small Box"/>
    <x v="19"/>
    <n v="0.59"/>
    <s v="United States"/>
    <x v="0"/>
    <s v="Oregon"/>
    <s v="Grants Pass"/>
    <n v="97526"/>
    <x v="13"/>
    <d v="2015-01-22T00:00:00"/>
    <n v="657.56"/>
    <n v="8"/>
    <x v="21"/>
    <n v="89202"/>
  </r>
  <r>
    <n v="19355"/>
    <x v="4"/>
    <n v="0.06"/>
    <n v="205.99"/>
    <n v="8.99"/>
    <n v="32"/>
    <s v="Matthew Berman"/>
    <s v="Regular Air"/>
    <s v="Corporate"/>
    <x v="2"/>
    <s v="Telephones and Communication"/>
    <s v="Small Box"/>
    <x v="20"/>
    <n v="0.56000000000000005"/>
    <s v="United States"/>
    <x v="0"/>
    <s v="Oregon"/>
    <s v="Grants Pass"/>
    <n v="97526"/>
    <x v="14"/>
    <d v="2015-03-19T00:00:00"/>
    <n v="3632.1499999999996"/>
    <n v="22"/>
    <x v="22"/>
    <n v="89203"/>
  </r>
  <r>
    <n v="23654"/>
    <x v="1"/>
    <n v="0.03"/>
    <n v="4.24"/>
    <n v="5.41"/>
    <n v="33"/>
    <s v="Ricky Hensley"/>
    <s v="Regular Air"/>
    <s v="Corporate"/>
    <x v="0"/>
    <s v="Binders and Binder Accessories"/>
    <s v="Small Box"/>
    <x v="21"/>
    <n v="0.35"/>
    <s v="United States"/>
    <x v="0"/>
    <s v="Oregon"/>
    <s v="Gresham"/>
    <n v="97030"/>
    <x v="15"/>
    <d v="2015-06-17T00:00:00"/>
    <n v="54.44"/>
    <n v="13"/>
    <x v="23"/>
    <n v="89201"/>
  </r>
  <r>
    <n v="23655"/>
    <x v="1"/>
    <n v="0.04"/>
    <n v="2.94"/>
    <n v="0.7"/>
    <n v="33"/>
    <s v="Ricky Hensley"/>
    <s v="Regular Air"/>
    <s v="Corporate"/>
    <x v="0"/>
    <s v="Pens &amp; Art Supplies"/>
    <s v="Wrap Bag"/>
    <x v="22"/>
    <n v="0.57999999999999996"/>
    <s v="United States"/>
    <x v="0"/>
    <s v="Oregon"/>
    <s v="Gresham"/>
    <n v="97030"/>
    <x v="15"/>
    <d v="2015-06-16T00:00:00"/>
    <n v="50.160000000000004"/>
    <n v="18"/>
    <x v="24"/>
    <n v="89201"/>
  </r>
  <r>
    <n v="25933"/>
    <x v="0"/>
    <n v="0"/>
    <n v="99.99"/>
    <n v="19.989999999999998"/>
    <n v="43"/>
    <s v="Theodore Moran"/>
    <s v="Regular Air"/>
    <s v="Consumer"/>
    <x v="2"/>
    <s v="Office Machines"/>
    <s v="Small Box"/>
    <x v="23"/>
    <n v="0.52"/>
    <s v="United States"/>
    <x v="0"/>
    <s v="Washington"/>
    <s v="Redmond"/>
    <n v="98052"/>
    <x v="16"/>
    <d v="2015-05-11T00:00:00"/>
    <n v="547.08000000000004"/>
    <n v="6"/>
    <x v="25"/>
    <n v="91454"/>
  </r>
  <r>
    <n v="18551"/>
    <x v="1"/>
    <n v="0"/>
    <n v="115.99"/>
    <n v="2.5"/>
    <n v="52"/>
    <s v="Lorraine Kelly"/>
    <s v="Regular Air"/>
    <s v="Corporate"/>
    <x v="2"/>
    <s v="Telephones and Communication"/>
    <s v="Small Box"/>
    <x v="24"/>
    <n v="0.56999999999999995"/>
    <s v="United States"/>
    <x v="0"/>
    <s v="Washington"/>
    <s v="Puyallup"/>
    <n v="98373"/>
    <x v="17"/>
    <d v="2015-03-10T00:00:00"/>
    <n v="511.04999999999995"/>
    <n v="6"/>
    <x v="26"/>
    <n v="88426"/>
  </r>
  <r>
    <n v="22117"/>
    <x v="2"/>
    <n v="7.0000000000000007E-2"/>
    <n v="3502.14"/>
    <n v="8.73"/>
    <n v="53"/>
    <s v="Sidney Russell Austin"/>
    <s v="Delivery Truck"/>
    <s v="Corporate"/>
    <x v="2"/>
    <s v="Office Machines"/>
    <s v="Jumbo Box"/>
    <x v="25"/>
    <n v="0.56999999999999995"/>
    <s v="United States"/>
    <x v="0"/>
    <s v="Washington"/>
    <s v="Redmond"/>
    <n v="98052"/>
    <x v="9"/>
    <d v="2015-01-30T00:00:00"/>
    <n v="-234.58999999999969"/>
    <n v="1"/>
    <x v="27"/>
    <n v="88425"/>
  </r>
  <r>
    <n v="18552"/>
    <x v="1"/>
    <n v="0.02"/>
    <n v="5.98"/>
    <n v="5.79"/>
    <n v="53"/>
    <s v="Sidney Russell Austin"/>
    <s v="Regular Air"/>
    <s v="Corporate"/>
    <x v="0"/>
    <s v="Paper"/>
    <s v="Small Box"/>
    <x v="26"/>
    <n v="0.36"/>
    <s v="United States"/>
    <x v="0"/>
    <s v="Washington"/>
    <s v="Redmond"/>
    <n v="98052"/>
    <x v="17"/>
    <d v="2015-03-11T00:00:00"/>
    <n v="104.21"/>
    <n v="17"/>
    <x v="28"/>
    <n v="88426"/>
  </r>
  <r>
    <n v="20697"/>
    <x v="3"/>
    <n v="0.06"/>
    <n v="3.8"/>
    <n v="1.49"/>
    <n v="56"/>
    <s v="Randall Montgomery"/>
    <s v="Regular Air"/>
    <s v="Consumer"/>
    <x v="0"/>
    <s v="Binders and Binder Accessories"/>
    <s v="Small Box"/>
    <x v="27"/>
    <n v="0.38"/>
    <s v="United States"/>
    <x v="1"/>
    <s v="New York"/>
    <s v="Tonawanda"/>
    <n v="14150"/>
    <x v="18"/>
    <d v="2015-04-21T00:00:00"/>
    <n v="69.75"/>
    <n v="20"/>
    <x v="29"/>
    <n v="88075"/>
  </r>
  <r>
    <n v="20698"/>
    <x v="3"/>
    <n v="0.06"/>
    <n v="1.76"/>
    <n v="0.7"/>
    <n v="56"/>
    <s v="Randall Montgomery"/>
    <s v="Regular Air"/>
    <s v="Consumer"/>
    <x v="0"/>
    <s v="Pens &amp; Art Supplies"/>
    <s v="Wrap Bag"/>
    <x v="28"/>
    <n v="0.56000000000000005"/>
    <s v="United States"/>
    <x v="1"/>
    <s v="New York"/>
    <s v="Tonawanda"/>
    <n v="14150"/>
    <x v="18"/>
    <d v="2015-04-21T00:00:00"/>
    <n v="27.81"/>
    <n v="17"/>
    <x v="30"/>
    <n v="88075"/>
  </r>
  <r>
    <n v="22890"/>
    <x v="0"/>
    <n v="0.02"/>
    <n v="5.98"/>
    <n v="5.15"/>
    <n v="62"/>
    <s v="Pam Gilbert"/>
    <s v="Regular Air"/>
    <s v="Corporate"/>
    <x v="0"/>
    <s v="Paper"/>
    <s v="Small Box"/>
    <x v="29"/>
    <n v="0.36"/>
    <s v="United States"/>
    <x v="2"/>
    <s v="Texas"/>
    <s v="Round Rock"/>
    <n v="78664"/>
    <x v="19"/>
    <d v="2015-05-11T00:00:00"/>
    <n v="16.87"/>
    <n v="3"/>
    <x v="31"/>
    <n v="87407"/>
  </r>
  <r>
    <n v="25354"/>
    <x v="0"/>
    <n v="0.04"/>
    <n v="29.14"/>
    <n v="4.8600000000000003"/>
    <n v="62"/>
    <s v="Pam Gilbert"/>
    <s v="Regular Air"/>
    <s v="Corporate"/>
    <x v="0"/>
    <s v="Paper"/>
    <s v="Wrap Bag"/>
    <x v="30"/>
    <n v="0.38"/>
    <s v="United States"/>
    <x v="2"/>
    <s v="Texas"/>
    <s v="Round Rock"/>
    <n v="78664"/>
    <x v="20"/>
    <d v="2015-06-14T00:00:00"/>
    <n v="477.25"/>
    <n v="17"/>
    <x v="32"/>
    <n v="87408"/>
  </r>
  <r>
    <n v="21017"/>
    <x v="1"/>
    <n v="0"/>
    <n v="3.69"/>
    <n v="0.5"/>
    <n v="64"/>
    <s v="Lynn Morrow"/>
    <s v="Regular Air"/>
    <s v="Small Business"/>
    <x v="0"/>
    <s v="Labels"/>
    <s v="Small Box"/>
    <x v="31"/>
    <n v="0.38"/>
    <s v="United States"/>
    <x v="3"/>
    <s v="Virginia"/>
    <s v="Salem"/>
    <n v="24153"/>
    <x v="21"/>
    <d v="2015-03-04T00:00:00"/>
    <n v="0.31000000000000005"/>
    <n v="1"/>
    <x v="33"/>
    <n v="87406"/>
  </r>
  <r>
    <n v="21019"/>
    <x v="1"/>
    <n v="0.02"/>
    <n v="175.99"/>
    <n v="4.99"/>
    <n v="64"/>
    <s v="Lynn Morrow"/>
    <s v="Express Air"/>
    <s v="Small Business"/>
    <x v="2"/>
    <s v="Telephones and Communication"/>
    <s v="Small Box"/>
    <x v="32"/>
    <n v="0.59"/>
    <s v="United States"/>
    <x v="3"/>
    <s v="Virginia"/>
    <s v="Salem"/>
    <n v="24153"/>
    <x v="21"/>
    <d v="2015-03-02T00:00:00"/>
    <n v="413.80999999999995"/>
    <n v="4"/>
    <x v="34"/>
    <n v="87406"/>
  </r>
  <r>
    <n v="23274"/>
    <x v="4"/>
    <n v="0.05"/>
    <n v="155.06"/>
    <n v="7.07"/>
    <n v="67"/>
    <s v="Ellen McCormick"/>
    <s v="Regular Air"/>
    <s v="Corporate"/>
    <x v="0"/>
    <s v="Storage &amp; Organization"/>
    <s v="Small Box"/>
    <x v="33"/>
    <n v="0.59"/>
    <s v="United States"/>
    <x v="0"/>
    <s v="California"/>
    <s v="Napa"/>
    <n v="94559"/>
    <x v="22"/>
    <d v="2015-01-09T00:00:00"/>
    <n v="1070.54"/>
    <n v="8"/>
    <x v="35"/>
    <n v="87946"/>
  </r>
  <r>
    <n v="5272"/>
    <x v="4"/>
    <n v="0"/>
    <n v="291.73"/>
    <n v="48.8"/>
    <n v="68"/>
    <s v="Scott Bunn"/>
    <s v="Delivery Truck"/>
    <s v="Corporate"/>
    <x v="1"/>
    <s v="Chairs &amp; Chairmats"/>
    <s v="Jumbo Drum"/>
    <x v="34"/>
    <n v="0.56000000000000005"/>
    <s v="United States"/>
    <x v="1"/>
    <s v="New York"/>
    <s v="New York City"/>
    <n v="10177"/>
    <x v="22"/>
    <d v="2015-01-02T00:00:00"/>
    <n v="947.32999999999993"/>
    <n v="4"/>
    <x v="36"/>
    <n v="37537"/>
  </r>
  <r>
    <n v="5273"/>
    <x v="4"/>
    <n v="7.0000000000000007E-2"/>
    <n v="100.98"/>
    <n v="45"/>
    <n v="68"/>
    <s v="Scott Bunn"/>
    <s v="Delivery Truck"/>
    <s v="Corporate"/>
    <x v="1"/>
    <s v="Chairs &amp; Chairmats"/>
    <s v="Jumbo Drum"/>
    <x v="35"/>
    <n v="0.69"/>
    <s v="United States"/>
    <x v="1"/>
    <s v="New York"/>
    <s v="New York City"/>
    <n v="10177"/>
    <x v="22"/>
    <d v="2015-01-04T00:00:00"/>
    <n v="3982.21"/>
    <n v="43"/>
    <x v="37"/>
    <n v="37537"/>
  </r>
  <r>
    <n v="5274"/>
    <x v="4"/>
    <n v="0.05"/>
    <n v="155.06"/>
    <n v="7.07"/>
    <n v="68"/>
    <s v="Scott Bunn"/>
    <s v="Regular Air"/>
    <s v="Corporate"/>
    <x v="0"/>
    <s v="Storage &amp; Organization"/>
    <s v="Small Box"/>
    <x v="33"/>
    <n v="0.59"/>
    <s v="United States"/>
    <x v="1"/>
    <s v="New York"/>
    <s v="New York City"/>
    <n v="10177"/>
    <x v="22"/>
    <d v="2015-01-09T00:00:00"/>
    <n v="4747.32"/>
    <n v="32"/>
    <x v="38"/>
    <n v="37537"/>
  </r>
  <r>
    <n v="7786"/>
    <x v="0"/>
    <n v="0.09"/>
    <n v="122.99"/>
    <n v="70.2"/>
    <n v="68"/>
    <s v="Scott Bunn"/>
    <s v="Delivery Truck"/>
    <s v="Corporate"/>
    <x v="1"/>
    <s v="Chairs &amp; Chairmats"/>
    <s v="Jumbo Drum"/>
    <x v="36"/>
    <n v="0.74"/>
    <s v="United States"/>
    <x v="1"/>
    <s v="New York"/>
    <s v="New York City"/>
    <n v="10177"/>
    <x v="23"/>
    <d v="2015-02-04T00:00:00"/>
    <n v="5595.8600000000006"/>
    <n v="49"/>
    <x v="39"/>
    <n v="55713"/>
  </r>
  <r>
    <n v="25786"/>
    <x v="0"/>
    <n v="0.09"/>
    <n v="122.99"/>
    <n v="70.2"/>
    <n v="70"/>
    <s v="Annette Boone"/>
    <s v="Delivery Truck"/>
    <s v="Corporate"/>
    <x v="1"/>
    <s v="Chairs &amp; Chairmats"/>
    <s v="Jumbo Drum"/>
    <x v="36"/>
    <n v="0.74"/>
    <s v="United States"/>
    <x v="1"/>
    <s v="Vermont"/>
    <s v="Burlington"/>
    <n v="5401"/>
    <x v="23"/>
    <d v="2015-02-04T00:00:00"/>
    <n v="1277.54"/>
    <n v="12"/>
    <x v="40"/>
    <n v="87947"/>
  </r>
  <r>
    <n v="18281"/>
    <x v="0"/>
    <n v="0.04"/>
    <n v="296.18"/>
    <n v="54.12"/>
    <n v="83"/>
    <s v="Edgar Stone"/>
    <s v="Delivery Truck"/>
    <s v="Corporate"/>
    <x v="1"/>
    <s v="Tables"/>
    <s v="Jumbo Box"/>
    <x v="37"/>
    <n v="0.76"/>
    <s v="United States"/>
    <x v="1"/>
    <s v="Ohio"/>
    <s v="Canton"/>
    <n v="44708"/>
    <x v="24"/>
    <d v="2015-03-15T00:00:00"/>
    <n v="1525.71"/>
    <n v="6"/>
    <x v="41"/>
    <n v="87365"/>
  </r>
  <r>
    <n v="23639"/>
    <x v="1"/>
    <n v="0"/>
    <n v="8.09"/>
    <n v="7.96"/>
    <n v="84"/>
    <s v="Helen Stein"/>
    <s v="Regular Air"/>
    <s v="Consumer"/>
    <x v="1"/>
    <s v="Office Furnishings"/>
    <s v="Small Box"/>
    <x v="38"/>
    <n v="0.49"/>
    <s v="United States"/>
    <x v="1"/>
    <s v="Ohio"/>
    <s v="Cincinnati"/>
    <n v="45231"/>
    <x v="23"/>
    <d v="2015-02-03T00:00:00"/>
    <n v="82.89"/>
    <n v="11"/>
    <x v="42"/>
    <n v="87364"/>
  </r>
  <r>
    <n v="23880"/>
    <x v="0"/>
    <n v="0.08"/>
    <n v="896.99"/>
    <n v="19.989999999999998"/>
    <n v="84"/>
    <s v="Helen Stein"/>
    <s v="Regular Air"/>
    <s v="Corporate"/>
    <x v="0"/>
    <s v="Binders and Binder Accessories"/>
    <s v="Small Box"/>
    <x v="39"/>
    <n v="0.38"/>
    <s v="United States"/>
    <x v="1"/>
    <s v="Ohio"/>
    <s v="Cincinnati"/>
    <n v="45231"/>
    <x v="25"/>
    <d v="2015-04-02T00:00:00"/>
    <n v="9831.01"/>
    <n v="13"/>
    <x v="43"/>
    <n v="87366"/>
  </r>
  <r>
    <n v="24663"/>
    <x v="4"/>
    <n v="0.05"/>
    <n v="161.55000000000001"/>
    <n v="19.989999999999998"/>
    <n v="87"/>
    <s v="Norman Shields"/>
    <s v="Regular Air"/>
    <s v="Corporate"/>
    <x v="0"/>
    <s v="Storage &amp; Organization"/>
    <s v="Small Box"/>
    <x v="40"/>
    <n v="0.66"/>
    <s v="United States"/>
    <x v="0"/>
    <s v="California"/>
    <s v="Vacaville"/>
    <n v="95687"/>
    <x v="26"/>
    <d v="2015-06-08T00:00:00"/>
    <n v="2966.14"/>
    <n v="19"/>
    <x v="44"/>
    <n v="90596"/>
  </r>
  <r>
    <n v="23841"/>
    <x v="0"/>
    <n v="0.09"/>
    <n v="4.91"/>
    <n v="0.5"/>
    <n v="87"/>
    <s v="Norman Shields"/>
    <s v="Regular Air"/>
    <s v="Corporate"/>
    <x v="0"/>
    <s v="Labels"/>
    <s v="Small Box"/>
    <x v="41"/>
    <n v="0.36"/>
    <s v="United States"/>
    <x v="0"/>
    <s v="California"/>
    <s v="Vacaville"/>
    <n v="95687"/>
    <x v="27"/>
    <d v="2015-03-23T00:00:00"/>
    <n v="36.909999999999997"/>
    <n v="9"/>
    <x v="45"/>
    <n v="90597"/>
  </r>
  <r>
    <n v="23842"/>
    <x v="0"/>
    <n v="0.01"/>
    <n v="296.18"/>
    <n v="54.12"/>
    <n v="87"/>
    <s v="Norman Shields"/>
    <s v="Delivery Truck"/>
    <s v="Corporate"/>
    <x v="1"/>
    <s v="Tables"/>
    <s v="Jumbo Box"/>
    <x v="37"/>
    <n v="0.76"/>
    <s v="United States"/>
    <x v="0"/>
    <s v="California"/>
    <s v="Vacaville"/>
    <n v="95687"/>
    <x v="27"/>
    <d v="2015-03-25T00:00:00"/>
    <n v="2579.54"/>
    <n v="9"/>
    <x v="46"/>
    <n v="90597"/>
  </r>
  <r>
    <n v="23071"/>
    <x v="0"/>
    <n v="7.0000000000000007E-2"/>
    <n v="19.84"/>
    <n v="4.0999999999999996"/>
    <n v="91"/>
    <s v="Wallace Werner"/>
    <s v="Regular Air"/>
    <s v="Home Office"/>
    <x v="0"/>
    <s v="Pens &amp; Art Supplies"/>
    <s v="Wrap Bag"/>
    <x v="42"/>
    <n v="0.44"/>
    <s v="United States"/>
    <x v="0"/>
    <s v="California"/>
    <s v="Vallejo"/>
    <n v="94591"/>
    <x v="28"/>
    <d v="2015-05-18T00:00:00"/>
    <n v="150.96"/>
    <n v="9"/>
    <x v="47"/>
    <n v="87175"/>
  </r>
  <r>
    <n v="19877"/>
    <x v="3"/>
    <n v="0.05"/>
    <n v="5.18"/>
    <n v="2.04"/>
    <n v="91"/>
    <s v="Wallace Werner"/>
    <s v="Regular Air"/>
    <s v="Home Office"/>
    <x v="0"/>
    <s v="Paper"/>
    <s v="Wrap Bag"/>
    <x v="43"/>
    <n v="0.36"/>
    <s v="United States"/>
    <x v="0"/>
    <s v="California"/>
    <s v="Vallejo"/>
    <n v="94591"/>
    <x v="29"/>
    <d v="2015-02-20T00:00:00"/>
    <n v="48.36"/>
    <n v="10"/>
    <x v="48"/>
    <n v="87176"/>
  </r>
  <r>
    <n v="19611"/>
    <x v="3"/>
    <n v="0.06"/>
    <n v="175.99"/>
    <n v="8.99"/>
    <n v="91"/>
    <s v="Wallace Werner"/>
    <s v="Regular Air"/>
    <s v="Corporate"/>
    <x v="2"/>
    <s v="Telephones and Communication"/>
    <s v="Small Box"/>
    <x v="44"/>
    <n v="0.56999999999999995"/>
    <s v="United States"/>
    <x v="0"/>
    <s v="California"/>
    <s v="Vallejo"/>
    <n v="94591"/>
    <x v="30"/>
    <d v="2015-03-06T00:00:00"/>
    <n v="3187.54"/>
    <n v="23"/>
    <x v="49"/>
    <n v="87177"/>
  </r>
  <r>
    <n v="23069"/>
    <x v="0"/>
    <n v="7.0000000000000007E-2"/>
    <n v="8.34"/>
    <n v="1.43"/>
    <n v="92"/>
    <s v="Victoria Baker Hoover"/>
    <s v="Regular Air"/>
    <s v="Home Office"/>
    <x v="0"/>
    <s v="Paper"/>
    <s v="Wrap Bag"/>
    <x v="45"/>
    <n v="0.35"/>
    <s v="United States"/>
    <x v="3"/>
    <s v="Louisiana"/>
    <s v="Terrytown"/>
    <n v="70056"/>
    <x v="28"/>
    <d v="2015-05-19T00:00:00"/>
    <n v="123.74000000000001"/>
    <n v="16"/>
    <x v="50"/>
    <n v="87175"/>
  </r>
  <r>
    <n v="23070"/>
    <x v="0"/>
    <n v="0.09"/>
    <n v="4.9800000000000004"/>
    <n v="6.07"/>
    <n v="92"/>
    <s v="Victoria Baker Hoover"/>
    <s v="Regular Air"/>
    <s v="Home Office"/>
    <x v="0"/>
    <s v="Paper"/>
    <s v="Small Box"/>
    <x v="46"/>
    <n v="0.36"/>
    <s v="United States"/>
    <x v="3"/>
    <s v="Louisiana"/>
    <s v="Terrytown"/>
    <n v="70056"/>
    <x v="28"/>
    <d v="2015-05-18T00:00:00"/>
    <n v="40.36"/>
    <n v="9"/>
    <x v="51"/>
    <n v="87175"/>
  </r>
  <r>
    <n v="23203"/>
    <x v="3"/>
    <n v="0.04"/>
    <n v="12.98"/>
    <n v="3.14"/>
    <n v="92"/>
    <s v="Victoria Baker Hoover"/>
    <s v="Express Air"/>
    <s v="Corporate"/>
    <x v="0"/>
    <s v="Scissors, Rulers and Trimmers"/>
    <s v="Small Pack"/>
    <x v="47"/>
    <n v="0.6"/>
    <s v="United States"/>
    <x v="3"/>
    <s v="Louisiana"/>
    <s v="Terrytown"/>
    <n v="70056"/>
    <x v="31"/>
    <d v="2015-06-09T00:00:00"/>
    <n v="203.06"/>
    <n v="16"/>
    <x v="52"/>
    <n v="87178"/>
  </r>
  <r>
    <n v="6243"/>
    <x v="1"/>
    <n v="0.04"/>
    <n v="160.97999999999999"/>
    <n v="30"/>
    <n v="94"/>
    <s v="Eddie House Mueller"/>
    <s v="Delivery Truck"/>
    <s v="Home Office"/>
    <x v="1"/>
    <s v="Chairs &amp; Chairmats"/>
    <s v="Jumbo Drum"/>
    <x v="48"/>
    <n v="0.62"/>
    <s v="United States"/>
    <x v="2"/>
    <s v="Illinois"/>
    <s v="Chicago"/>
    <n v="60601"/>
    <x v="32"/>
    <d v="2015-05-05T00:00:00"/>
    <n v="6115.3600000000006"/>
    <n v="37"/>
    <x v="53"/>
    <n v="44231"/>
  </r>
  <r>
    <n v="6244"/>
    <x v="1"/>
    <n v="0.01"/>
    <n v="17.98"/>
    <n v="4"/>
    <n v="94"/>
    <s v="Eddie House Mueller"/>
    <s v="Regular Air"/>
    <s v="Home Office"/>
    <x v="2"/>
    <s v="Computer Peripherals"/>
    <s v="Small Box"/>
    <x v="49"/>
    <n v="0.79"/>
    <s v="United States"/>
    <x v="2"/>
    <s v="Illinois"/>
    <s v="Chicago"/>
    <n v="60601"/>
    <x v="32"/>
    <d v="2015-05-05T00:00:00"/>
    <n v="2646.42"/>
    <n v="146"/>
    <x v="54"/>
    <n v="44231"/>
  </r>
  <r>
    <n v="24243"/>
    <x v="1"/>
    <n v="0.04"/>
    <n v="160.97999999999999"/>
    <n v="30"/>
    <n v="97"/>
    <s v="Max McKenna"/>
    <s v="Delivery Truck"/>
    <s v="Home Office"/>
    <x v="1"/>
    <s v="Chairs &amp; Chairmats"/>
    <s v="Jumbo Drum"/>
    <x v="48"/>
    <n v="0.62"/>
    <s v="United States"/>
    <x v="2"/>
    <s v="Kansas"/>
    <s v="Manhattan"/>
    <n v="66502"/>
    <x v="32"/>
    <d v="2015-05-05T00:00:00"/>
    <n v="1365.7"/>
    <n v="9"/>
    <x v="55"/>
    <n v="87306"/>
  </r>
  <r>
    <n v="24245"/>
    <x v="1"/>
    <n v="0.06"/>
    <n v="115.99"/>
    <n v="8.99"/>
    <n v="97"/>
    <s v="Max McKenna"/>
    <s v="Regular Air"/>
    <s v="Home Office"/>
    <x v="2"/>
    <s v="Telephones and Communication"/>
    <s v="Small Box"/>
    <x v="50"/>
    <n v="0.57999999999999996"/>
    <s v="United States"/>
    <x v="2"/>
    <s v="Kansas"/>
    <s v="Manhattan"/>
    <n v="66502"/>
    <x v="32"/>
    <d v="2015-05-04T00:00:00"/>
    <n v="1836.57"/>
    <n v="20"/>
    <x v="56"/>
    <n v="87306"/>
  </r>
  <r>
    <n v="18494"/>
    <x v="3"/>
    <n v="0.1"/>
    <n v="19.98"/>
    <n v="4"/>
    <n v="101"/>
    <s v="Claudia Boyle"/>
    <s v="Regular Air"/>
    <s v="Consumer"/>
    <x v="2"/>
    <s v="Computer Peripherals"/>
    <s v="Small Box"/>
    <x v="51"/>
    <n v="0.68"/>
    <s v="United States"/>
    <x v="1"/>
    <s v="Maine"/>
    <s v="Biddeford"/>
    <n v="4005"/>
    <x v="33"/>
    <d v="2015-06-24T00:00:00"/>
    <n v="283.60999999999996"/>
    <n v="16"/>
    <x v="57"/>
    <n v="88205"/>
  </r>
  <r>
    <n v="6014"/>
    <x v="3"/>
    <n v="0.04"/>
    <n v="300.98"/>
    <n v="54.92"/>
    <n v="102"/>
    <s v="Caroline Johnston"/>
    <s v="Delivery Truck"/>
    <s v="Consumer"/>
    <x v="1"/>
    <s v="Bookcases"/>
    <s v="Jumbo Box"/>
    <x v="52"/>
    <n v="0.55000000000000004"/>
    <s v="United States"/>
    <x v="1"/>
    <s v="Massachusetts"/>
    <s v="Boston"/>
    <n v="2129"/>
    <x v="34"/>
    <d v="2015-04-07T00:00:00"/>
    <n v="9158.9600000000009"/>
    <n v="31"/>
    <x v="58"/>
    <n v="42599"/>
  </r>
  <r>
    <n v="494"/>
    <x v="3"/>
    <n v="0.1"/>
    <n v="19.98"/>
    <n v="4"/>
    <n v="102"/>
    <s v="Caroline Johnston"/>
    <s v="Regular Air"/>
    <s v="Consumer"/>
    <x v="2"/>
    <s v="Computer Peripherals"/>
    <s v="Small Box"/>
    <x v="51"/>
    <n v="0.68"/>
    <s v="United States"/>
    <x v="1"/>
    <s v="Massachusetts"/>
    <s v="Boston"/>
    <n v="2129"/>
    <x v="33"/>
    <d v="2015-06-24T00:00:00"/>
    <n v="1213.3399999999999"/>
    <n v="65"/>
    <x v="59"/>
    <n v="3397"/>
  </r>
  <r>
    <n v="495"/>
    <x v="3"/>
    <n v="0.09"/>
    <n v="2.88"/>
    <n v="1.49"/>
    <n v="102"/>
    <s v="Caroline Johnston"/>
    <s v="Regular Air"/>
    <s v="Consumer"/>
    <x v="0"/>
    <s v="Binders and Binder Accessories"/>
    <s v="Small Box"/>
    <x v="53"/>
    <n v="0.36"/>
    <s v="United States"/>
    <x v="1"/>
    <s v="Massachusetts"/>
    <s v="Boston"/>
    <n v="2129"/>
    <x v="33"/>
    <d v="2015-06-23T00:00:00"/>
    <n v="44.43"/>
    <n v="17"/>
    <x v="60"/>
    <n v="3397"/>
  </r>
  <r>
    <n v="24014"/>
    <x v="3"/>
    <n v="0.04"/>
    <n v="300.98"/>
    <n v="54.92"/>
    <n v="107"/>
    <s v="Lois Hamilton"/>
    <s v="Delivery Truck"/>
    <s v="Consumer"/>
    <x v="1"/>
    <s v="Bookcases"/>
    <s v="Jumbo Box"/>
    <x v="52"/>
    <n v="0.55000000000000004"/>
    <s v="United States"/>
    <x v="1"/>
    <s v="New Hampshire"/>
    <s v="Dover"/>
    <n v="3820"/>
    <x v="34"/>
    <d v="2015-04-07T00:00:00"/>
    <n v="2140.29"/>
    <n v="8"/>
    <x v="61"/>
    <n v="88204"/>
  </r>
  <r>
    <n v="18495"/>
    <x v="3"/>
    <n v="0.09"/>
    <n v="2.88"/>
    <n v="1.49"/>
    <n v="109"/>
    <s v="Tom McFarland"/>
    <s v="Regular Air"/>
    <s v="Consumer"/>
    <x v="0"/>
    <s v="Binders and Binder Accessories"/>
    <s v="Small Box"/>
    <x v="53"/>
    <n v="0.36"/>
    <s v="United States"/>
    <x v="1"/>
    <s v="New Jersey"/>
    <s v="Lodi"/>
    <n v="7644"/>
    <x v="33"/>
    <d v="2015-06-23T00:00:00"/>
    <n v="8.25"/>
    <n v="4"/>
    <x v="62"/>
    <n v="88205"/>
  </r>
  <r>
    <n v="19074"/>
    <x v="0"/>
    <n v="0.03"/>
    <n v="4.26"/>
    <n v="1.2"/>
    <n v="114"/>
    <s v="Ron Newton"/>
    <s v="Regular Air"/>
    <s v="Home Office"/>
    <x v="0"/>
    <s v="Pens &amp; Art Supplies"/>
    <s v="Wrap Bag"/>
    <x v="54"/>
    <n v="0.44"/>
    <s v="United States"/>
    <x v="0"/>
    <s v="Oregon"/>
    <s v="Lake Oswego"/>
    <n v="97035"/>
    <x v="35"/>
    <d v="2015-01-04T00:00:00"/>
    <n v="25.240000000000002"/>
    <n v="7"/>
    <x v="63"/>
    <n v="89583"/>
  </r>
  <r>
    <n v="19950"/>
    <x v="3"/>
    <n v="0.01"/>
    <n v="4.91"/>
    <n v="0.5"/>
    <n v="114"/>
    <s v="Ron Newton"/>
    <s v="Regular Air"/>
    <s v="Home Office"/>
    <x v="0"/>
    <s v="Labels"/>
    <s v="Small Box"/>
    <x v="41"/>
    <n v="0.36"/>
    <s v="United States"/>
    <x v="0"/>
    <s v="Oregon"/>
    <s v="Lake Oswego"/>
    <n v="97035"/>
    <x v="36"/>
    <d v="2015-04-06T00:00:00"/>
    <n v="53.42"/>
    <n v="12"/>
    <x v="64"/>
    <n v="89584"/>
  </r>
  <r>
    <n v="19951"/>
    <x v="3"/>
    <n v="0.09"/>
    <n v="4"/>
    <n v="1.3"/>
    <n v="114"/>
    <s v="Ron Newton"/>
    <s v="Express Air"/>
    <s v="Home Office"/>
    <x v="0"/>
    <s v="Paper"/>
    <s v="Wrap Bag"/>
    <x v="55"/>
    <n v="0.37"/>
    <s v="United States"/>
    <x v="0"/>
    <s v="Oregon"/>
    <s v="Lake Oswego"/>
    <n v="97035"/>
    <x v="36"/>
    <d v="2015-04-06T00:00:00"/>
    <n v="16.420000000000002"/>
    <n v="5"/>
    <x v="65"/>
    <n v="89584"/>
  </r>
  <r>
    <n v="26241"/>
    <x v="4"/>
    <n v="7.0000000000000007E-2"/>
    <n v="2.12"/>
    <n v="1.99"/>
    <n v="115"/>
    <s v="Dwight M Carr"/>
    <s v="Regular Air"/>
    <s v="Home Office"/>
    <x v="2"/>
    <s v="Computer Peripherals"/>
    <s v="Small Pack"/>
    <x v="56"/>
    <n v="0.55000000000000004"/>
    <s v="United States"/>
    <x v="0"/>
    <s v="Oregon"/>
    <s v="Mcminnville"/>
    <n v="97128"/>
    <x v="37"/>
    <d v="2015-04-11T00:00:00"/>
    <n v="23.95"/>
    <n v="12"/>
    <x v="66"/>
    <n v="89585"/>
  </r>
  <r>
    <n v="1074"/>
    <x v="0"/>
    <n v="0.03"/>
    <n v="4.26"/>
    <n v="1.2"/>
    <n v="117"/>
    <s v="Linda Weiss"/>
    <s v="Regular Air"/>
    <s v="Home Office"/>
    <x v="0"/>
    <s v="Pens &amp; Art Supplies"/>
    <s v="Wrap Bag"/>
    <x v="54"/>
    <n v="0.44"/>
    <s v="United States"/>
    <x v="0"/>
    <s v="Washington"/>
    <s v="Seattle"/>
    <n v="98103"/>
    <x v="35"/>
    <d v="2015-01-04T00:00:00"/>
    <n v="117.97"/>
    <n v="29"/>
    <x v="67"/>
    <n v="7909"/>
  </r>
  <r>
    <n v="1950"/>
    <x v="3"/>
    <n v="0.01"/>
    <n v="4.91"/>
    <n v="0.5"/>
    <n v="117"/>
    <s v="Linda Weiss"/>
    <s v="Regular Air"/>
    <s v="Home Office"/>
    <x v="0"/>
    <s v="Labels"/>
    <s v="Small Box"/>
    <x v="41"/>
    <n v="0.36"/>
    <s v="United States"/>
    <x v="0"/>
    <s v="Washington"/>
    <s v="Seattle"/>
    <n v="98103"/>
    <x v="36"/>
    <d v="2015-04-06T00:00:00"/>
    <n v="223.55"/>
    <n v="47"/>
    <x v="68"/>
    <n v="13959"/>
  </r>
  <r>
    <n v="1951"/>
    <x v="3"/>
    <n v="0.09"/>
    <n v="4"/>
    <n v="1.3"/>
    <n v="117"/>
    <s v="Linda Weiss"/>
    <s v="Express Air"/>
    <s v="Home Office"/>
    <x v="0"/>
    <s v="Paper"/>
    <s v="Wrap Bag"/>
    <x v="55"/>
    <n v="0.37"/>
    <s v="United States"/>
    <x v="0"/>
    <s v="Washington"/>
    <s v="Seattle"/>
    <n v="98103"/>
    <x v="36"/>
    <d v="2015-04-06T00:00:00"/>
    <n v="73.61"/>
    <n v="19"/>
    <x v="69"/>
    <n v="13959"/>
  </r>
  <r>
    <n v="8241"/>
    <x v="4"/>
    <n v="7.0000000000000007E-2"/>
    <n v="2.12"/>
    <n v="1.99"/>
    <n v="117"/>
    <s v="Linda Weiss"/>
    <s v="Regular Air"/>
    <s v="Home Office"/>
    <x v="2"/>
    <s v="Computer Peripherals"/>
    <s v="Small Pack"/>
    <x v="56"/>
    <n v="0.55000000000000004"/>
    <s v="United States"/>
    <x v="0"/>
    <s v="Washington"/>
    <s v="Seattle"/>
    <n v="98103"/>
    <x v="37"/>
    <d v="2015-04-11T00:00:00"/>
    <n v="97.82"/>
    <n v="46"/>
    <x v="70"/>
    <n v="58914"/>
  </r>
  <r>
    <n v="20688"/>
    <x v="0"/>
    <n v="0.05"/>
    <n v="6.3"/>
    <n v="0.5"/>
    <n v="120"/>
    <s v="Helen H Murphy"/>
    <s v="Regular Air"/>
    <s v="Corporate"/>
    <x v="0"/>
    <s v="Labels"/>
    <s v="Small Box"/>
    <x v="57"/>
    <n v="0.39"/>
    <s v="United States"/>
    <x v="0"/>
    <s v="Utah"/>
    <s v="Layton"/>
    <n v="84041"/>
    <x v="38"/>
    <d v="2015-01-13T00:00:00"/>
    <n v="53.550000000000004"/>
    <n v="10"/>
    <x v="71"/>
    <n v="86520"/>
  </r>
  <r>
    <n v="20689"/>
    <x v="0"/>
    <n v="0.09"/>
    <n v="205.99"/>
    <n v="3"/>
    <n v="120"/>
    <s v="Helen H Murphy"/>
    <s v="Express Air"/>
    <s v="Corporate"/>
    <x v="2"/>
    <s v="Telephones and Communication"/>
    <s v="Small Box"/>
    <x v="58"/>
    <n v="0.57999999999999996"/>
    <s v="United States"/>
    <x v="0"/>
    <s v="Utah"/>
    <s v="Layton"/>
    <n v="84041"/>
    <x v="38"/>
    <d v="2015-01-14T00:00:00"/>
    <n v="1502.74"/>
    <n v="10"/>
    <x v="72"/>
    <n v="86520"/>
  </r>
  <r>
    <n v="19942"/>
    <x v="2"/>
    <n v="0.06"/>
    <n v="8.57"/>
    <n v="6.14"/>
    <n v="123"/>
    <s v="Shawn Stern"/>
    <s v="Regular Air"/>
    <s v="Home Office"/>
    <x v="0"/>
    <s v="Scissors, Rulers and Trimmers"/>
    <s v="Small Pack"/>
    <x v="59"/>
    <n v="0.59"/>
    <s v="United States"/>
    <x v="3"/>
    <s v="Virginia"/>
    <s v="Tysons Corner"/>
    <n v="22102"/>
    <x v="37"/>
    <d v="2015-04-10T00:00:00"/>
    <n v="86.4"/>
    <n v="11"/>
    <x v="73"/>
    <n v="90669"/>
  </r>
  <r>
    <n v="24319"/>
    <x v="1"/>
    <n v="0.02"/>
    <n v="1.74"/>
    <n v="4.08"/>
    <n v="129"/>
    <s v="Kara Allison"/>
    <s v="Regular Air"/>
    <s v="Small Business"/>
    <x v="1"/>
    <s v="Office Furnishings"/>
    <s v="Small Pack"/>
    <x v="60"/>
    <n v="0.53"/>
    <s v="United States"/>
    <x v="2"/>
    <s v="Illinois"/>
    <s v="Alton"/>
    <n v="62002"/>
    <x v="39"/>
    <d v="2015-01-28T00:00:00"/>
    <n v="8.49"/>
    <n v="5"/>
    <x v="74"/>
    <n v="86693"/>
  </r>
  <r>
    <n v="18161"/>
    <x v="1"/>
    <n v="7.0000000000000007E-2"/>
    <n v="15.74"/>
    <n v="1.39"/>
    <n v="129"/>
    <s v="Kara Allison"/>
    <s v="Regular Air"/>
    <s v="Small Business"/>
    <x v="0"/>
    <s v="Envelopes"/>
    <s v="Small Box"/>
    <x v="61"/>
    <n v="0.4"/>
    <s v="United States"/>
    <x v="2"/>
    <s v="Illinois"/>
    <s v="Alton"/>
    <n v="62002"/>
    <x v="40"/>
    <d v="2015-05-26T00:00:00"/>
    <n v="201.48999999999998"/>
    <n v="14"/>
    <x v="75"/>
    <n v="86694"/>
  </r>
  <r>
    <n v="25762"/>
    <x v="2"/>
    <n v="0.04"/>
    <n v="18.97"/>
    <n v="9.5399999999999991"/>
    <n v="136"/>
    <s v="Dale Gillespie"/>
    <s v="Regular Air"/>
    <s v="Small Business"/>
    <x v="0"/>
    <s v="Paper"/>
    <s v="Small Box"/>
    <x v="62"/>
    <n v="0.37"/>
    <s v="United States"/>
    <x v="0"/>
    <s v="California"/>
    <s v="Petaluma"/>
    <n v="94952"/>
    <x v="41"/>
    <d v="2015-05-17T00:00:00"/>
    <n v="82.77"/>
    <n v="5"/>
    <x v="76"/>
    <n v="88534"/>
  </r>
  <r>
    <n v="25764"/>
    <x v="2"/>
    <n v="0.09"/>
    <n v="10.98"/>
    <n v="3.37"/>
    <n v="136"/>
    <s v="Dale Gillespie"/>
    <s v="Regular Air"/>
    <s v="Small Business"/>
    <x v="0"/>
    <s v="Scissors, Rulers and Trimmers"/>
    <s v="Small Pack"/>
    <x v="63"/>
    <n v="0.56999999999999995"/>
    <s v="United States"/>
    <x v="0"/>
    <s v="California"/>
    <s v="Petaluma"/>
    <n v="94952"/>
    <x v="41"/>
    <d v="2015-05-17T00:00:00"/>
    <n v="73.539999999999992"/>
    <n v="8"/>
    <x v="77"/>
    <n v="88534"/>
  </r>
  <r>
    <n v="24803"/>
    <x v="2"/>
    <n v="0.03"/>
    <n v="22.84"/>
    <n v="11.54"/>
    <n v="142"/>
    <s v="Brooke Weeks Taylor"/>
    <s v="Regular Air"/>
    <s v="Small Business"/>
    <x v="0"/>
    <s v="Paper"/>
    <s v="Small Box"/>
    <x v="64"/>
    <n v="0.39"/>
    <s v="United States"/>
    <x v="1"/>
    <s v="Connecticut"/>
    <s v="Ansonia"/>
    <n v="6401"/>
    <x v="42"/>
    <d v="2015-06-03T00:00:00"/>
    <n v="289.75"/>
    <n v="13"/>
    <x v="78"/>
    <n v="91087"/>
  </r>
  <r>
    <n v="24805"/>
    <x v="2"/>
    <n v="0.05"/>
    <n v="10.98"/>
    <n v="3.37"/>
    <n v="144"/>
    <s v="Marguerite Moss"/>
    <s v="Regular Air"/>
    <s v="Small Business"/>
    <x v="0"/>
    <s v="Scissors, Rulers and Trimmers"/>
    <s v="Small Pack"/>
    <x v="63"/>
    <n v="0.56999999999999995"/>
    <s v="United States"/>
    <x v="1"/>
    <s v="Massachusetts"/>
    <s v="Yarmouth"/>
    <n v="2664"/>
    <x v="42"/>
    <d v="2015-06-03T00:00:00"/>
    <n v="53.42"/>
    <n v="6"/>
    <x v="79"/>
    <n v="91087"/>
  </r>
  <r>
    <n v="24849"/>
    <x v="3"/>
    <n v="0.06"/>
    <n v="7.04"/>
    <n v="2.17"/>
    <n v="145"/>
    <s v="Rhonda Ivey"/>
    <s v="Regular Air"/>
    <s v="Small Business"/>
    <x v="0"/>
    <s v="Paper"/>
    <s v="Wrap Bag"/>
    <x v="65"/>
    <n v="0.38"/>
    <s v="United States"/>
    <x v="1"/>
    <s v="Pennsylvania"/>
    <s v="West Mifflin"/>
    <n v="15122"/>
    <x v="43"/>
    <d v="2015-01-17T00:00:00"/>
    <n v="7.61"/>
    <n v="2"/>
    <x v="80"/>
    <n v="91086"/>
  </r>
  <r>
    <n v="25582"/>
    <x v="4"/>
    <n v="7.0000000000000007E-2"/>
    <n v="154.13"/>
    <n v="69"/>
    <n v="145"/>
    <s v="Rhonda Ivey"/>
    <s v="Express Air"/>
    <s v="Home Office"/>
    <x v="1"/>
    <s v="Tables"/>
    <s v="Large Box"/>
    <x v="66"/>
    <n v="0.68"/>
    <s v="United States"/>
    <x v="1"/>
    <s v="Pennsylvania"/>
    <s v="West Mifflin"/>
    <n v="15122"/>
    <x v="44"/>
    <d v="2015-03-16T00:00:00"/>
    <n v="299.49"/>
    <n v="3"/>
    <x v="81"/>
    <n v="91089"/>
  </r>
  <r>
    <n v="23365"/>
    <x v="1"/>
    <n v="0.01"/>
    <n v="45.98"/>
    <n v="4.8"/>
    <n v="146"/>
    <s v="Yvonne Fox"/>
    <s v="Regular Air"/>
    <s v="Small Business"/>
    <x v="1"/>
    <s v="Office Furnishings"/>
    <s v="Wrap Bag"/>
    <x v="67"/>
    <n v="0.68"/>
    <s v="United States"/>
    <x v="2"/>
    <s v="Texas"/>
    <s v="Watauga"/>
    <n v="76148"/>
    <x v="14"/>
    <d v="2015-03-13T00:00:00"/>
    <n v="147.61000000000001"/>
    <n v="4"/>
    <x v="82"/>
    <n v="91088"/>
  </r>
  <r>
    <n v="22907"/>
    <x v="3"/>
    <n v="0.06"/>
    <n v="180.98"/>
    <n v="26.2"/>
    <n v="146"/>
    <s v="Yvonne Fox"/>
    <s v="Delivery Truck"/>
    <s v="Corporate"/>
    <x v="1"/>
    <s v="Chairs &amp; Chairmats"/>
    <s v="Jumbo Drum"/>
    <x v="68"/>
    <n v="0.59"/>
    <s v="United States"/>
    <x v="2"/>
    <s v="Texas"/>
    <s v="Watauga"/>
    <n v="76148"/>
    <x v="45"/>
    <d v="2015-04-24T00:00:00"/>
    <n v="748.59"/>
    <n v="5"/>
    <x v="83"/>
    <n v="91090"/>
  </r>
  <r>
    <n v="19058"/>
    <x v="2"/>
    <n v="0.09"/>
    <n v="32.979999999999997"/>
    <n v="5.5"/>
    <n v="151"/>
    <s v="Geoffrey Zhu"/>
    <s v="Regular Air"/>
    <s v="Home Office"/>
    <x v="2"/>
    <s v="Computer Peripherals"/>
    <s v="Small Box"/>
    <x v="69"/>
    <n v="0.75"/>
    <s v="United States"/>
    <x v="3"/>
    <s v="Tennessee"/>
    <s v="Kingsport"/>
    <n v="37664"/>
    <x v="46"/>
    <d v="2015-01-23T00:00:00"/>
    <n v="29.480000000000004"/>
    <n v="2"/>
    <x v="84"/>
    <n v="89521"/>
  </r>
  <r>
    <n v="20679"/>
    <x v="0"/>
    <n v="0.09"/>
    <n v="5.98"/>
    <n v="2.5"/>
    <n v="151"/>
    <s v="Geoffrey Zhu"/>
    <s v="Regular Air"/>
    <s v="Home Office"/>
    <x v="0"/>
    <s v="Envelopes"/>
    <s v="Small Box"/>
    <x v="70"/>
    <n v="0.36"/>
    <s v="United States"/>
    <x v="3"/>
    <s v="Tennessee"/>
    <s v="Kingsport"/>
    <n v="37664"/>
    <x v="18"/>
    <d v="2015-04-22T00:00:00"/>
    <n v="22.13"/>
    <n v="5"/>
    <x v="85"/>
    <n v="89523"/>
  </r>
  <r>
    <n v="21103"/>
    <x v="2"/>
    <n v="0.09"/>
    <n v="2.88"/>
    <n v="0.7"/>
    <n v="152"/>
    <s v="Kent Kerr"/>
    <s v="Regular Air"/>
    <s v="Consumer"/>
    <x v="0"/>
    <s v="Pens &amp; Art Supplies"/>
    <s v="Wrap Bag"/>
    <x v="71"/>
    <n v="0.56000000000000005"/>
    <s v="United States"/>
    <x v="3"/>
    <s v="Tennessee"/>
    <s v="Knoxville"/>
    <n v="37918"/>
    <x v="43"/>
    <d v="2015-01-16T00:00:00"/>
    <n v="2.62"/>
    <n v="2"/>
    <x v="86"/>
    <n v="89520"/>
  </r>
  <r>
    <n v="22243"/>
    <x v="4"/>
    <n v="0.01"/>
    <n v="79.52"/>
    <n v="48.2"/>
    <n v="152"/>
    <s v="Kent Kerr"/>
    <s v="Regular Air"/>
    <s v="Home Office"/>
    <x v="1"/>
    <s v="Office Furnishings"/>
    <s v="Medium Box"/>
    <x v="72"/>
    <n v="0.74"/>
    <s v="United States"/>
    <x v="3"/>
    <s v="Tennessee"/>
    <s v="Knoxville"/>
    <n v="37918"/>
    <x v="47"/>
    <d v="2015-04-26T00:00:00"/>
    <n v="588.32000000000005"/>
    <n v="8"/>
    <x v="87"/>
    <n v="89522"/>
  </r>
  <r>
    <n v="21767"/>
    <x v="0"/>
    <n v="0.01"/>
    <n v="65.989999999999995"/>
    <n v="8.99"/>
    <n v="152"/>
    <s v="Kent Kerr"/>
    <s v="Regular Air"/>
    <s v="Consumer"/>
    <x v="2"/>
    <s v="Telephones and Communication"/>
    <s v="Small Box"/>
    <x v="73"/>
    <n v="0.6"/>
    <s v="United States"/>
    <x v="3"/>
    <s v="Tennessee"/>
    <s v="Knoxville"/>
    <n v="37918"/>
    <x v="48"/>
    <d v="2015-04-01T00:00:00"/>
    <n v="226.24"/>
    <n v="5"/>
    <x v="88"/>
    <n v="89524"/>
  </r>
  <r>
    <n v="22470"/>
    <x v="4"/>
    <n v="0.1"/>
    <n v="39.979999999999997"/>
    <n v="4"/>
    <n v="152"/>
    <s v="Kent Kerr"/>
    <s v="Regular Air"/>
    <s v="Small Business"/>
    <x v="2"/>
    <s v="Computer Peripherals"/>
    <s v="Small Box"/>
    <x v="74"/>
    <n v="0.7"/>
    <s v="United States"/>
    <x v="3"/>
    <s v="Tennessee"/>
    <s v="Knoxville"/>
    <n v="37918"/>
    <x v="49"/>
    <d v="2015-06-22T00:00:00"/>
    <n v="732.57999999999993"/>
    <n v="21"/>
    <x v="89"/>
    <n v="89525"/>
  </r>
  <r>
    <n v="22329"/>
    <x v="2"/>
    <n v="0.01"/>
    <n v="95.99"/>
    <n v="4.9000000000000004"/>
    <n v="156"/>
    <s v="Diana Xu"/>
    <s v="Regular Air"/>
    <s v="Corporate"/>
    <x v="2"/>
    <s v="Telephones and Communication"/>
    <s v="Small Box"/>
    <x v="75"/>
    <n v="0.56000000000000005"/>
    <s v="United States"/>
    <x v="0"/>
    <s v="Colorado"/>
    <s v="Fort Collins"/>
    <n v="80525"/>
    <x v="50"/>
    <d v="2015-05-15T00:00:00"/>
    <n v="954.08999999999992"/>
    <n v="13"/>
    <x v="90"/>
    <n v="87671"/>
  </r>
  <r>
    <n v="20324"/>
    <x v="0"/>
    <n v="0.03"/>
    <n v="10.89"/>
    <n v="4.5"/>
    <n v="156"/>
    <s v="Diana Xu"/>
    <s v="Regular Air"/>
    <s v="Corporate"/>
    <x v="0"/>
    <s v="Appliances"/>
    <s v="Small Box"/>
    <x v="76"/>
    <n v="0.59"/>
    <s v="United States"/>
    <x v="0"/>
    <s v="Colorado"/>
    <s v="Fort Collins"/>
    <n v="80525"/>
    <x v="51"/>
    <d v="2015-01-26T00:00:00"/>
    <n v="22.93"/>
    <n v="3"/>
    <x v="91"/>
    <n v="87672"/>
  </r>
  <r>
    <n v="26102"/>
    <x v="3"/>
    <n v="0.05"/>
    <n v="100.98"/>
    <n v="35.840000000000003"/>
    <n v="164"/>
    <s v="Robin Kramer Vaughn"/>
    <s v="Delivery Truck"/>
    <s v="Home Office"/>
    <x v="1"/>
    <s v="Bookcases"/>
    <s v="Jumbo Box"/>
    <x v="77"/>
    <n v="0.62"/>
    <s v="United States"/>
    <x v="0"/>
    <s v="Washington"/>
    <s v="Richland"/>
    <n v="99352"/>
    <x v="22"/>
    <d v="2015-01-04T00:00:00"/>
    <n v="614.56999999999994"/>
    <n v="7"/>
    <x v="92"/>
    <n v="89961"/>
  </r>
  <r>
    <n v="26103"/>
    <x v="3"/>
    <n v="0.02"/>
    <n v="4.9800000000000004"/>
    <n v="5.49"/>
    <n v="164"/>
    <s v="Robin Kramer Vaughn"/>
    <s v="Regular Air"/>
    <s v="Home Office"/>
    <x v="0"/>
    <s v="Paper"/>
    <s v="Small Box"/>
    <x v="78"/>
    <n v="0.38"/>
    <s v="United States"/>
    <x v="0"/>
    <s v="Washington"/>
    <s v="Richland"/>
    <n v="99352"/>
    <x v="22"/>
    <d v="2015-01-03T00:00:00"/>
    <n v="40.650000000000006"/>
    <n v="9"/>
    <x v="93"/>
    <n v="89961"/>
  </r>
  <r>
    <n v="21040"/>
    <x v="4"/>
    <n v="0.08"/>
    <n v="399.98"/>
    <n v="12.06"/>
    <n v="166"/>
    <s v="Vicki Hauser"/>
    <s v="Delivery Truck"/>
    <s v="Consumer"/>
    <x v="2"/>
    <s v="Office Machines"/>
    <s v="Jumbo Box"/>
    <x v="79"/>
    <n v="0.56000000000000005"/>
    <s v="United States"/>
    <x v="3"/>
    <s v="Tennessee"/>
    <s v="Lebanon"/>
    <n v="37087"/>
    <x v="52"/>
    <d v="2015-01-18T00:00:00"/>
    <n v="1439.93"/>
    <n v="5"/>
    <x v="94"/>
    <n v="89426"/>
  </r>
  <r>
    <n v="19315"/>
    <x v="4"/>
    <n v="0.08"/>
    <n v="43.22"/>
    <n v="16.71"/>
    <n v="169"/>
    <s v="Janice Cole"/>
    <s v="Regular Air"/>
    <s v="Corporate"/>
    <x v="2"/>
    <s v="Computer Peripherals"/>
    <s v="Small Box"/>
    <x v="80"/>
    <n v="0.66"/>
    <s v="United States"/>
    <x v="3"/>
    <s v="Louisiana"/>
    <s v="Baton Rouge"/>
    <n v="70802"/>
    <x v="35"/>
    <d v="2015-01-05T00:00:00"/>
    <n v="87.4"/>
    <n v="3"/>
    <x v="95"/>
    <n v="87463"/>
  </r>
  <r>
    <n v="19316"/>
    <x v="4"/>
    <n v="0.05"/>
    <n v="574.74"/>
    <n v="24.49"/>
    <n v="169"/>
    <s v="Janice Cole"/>
    <s v="Regular Air"/>
    <s v="Corporate"/>
    <x v="2"/>
    <s v="Office Machines"/>
    <s v="Large Box"/>
    <x v="81"/>
    <n v="0.37"/>
    <s v="United States"/>
    <x v="3"/>
    <s v="Louisiana"/>
    <s v="Baton Rouge"/>
    <n v="70802"/>
    <x v="35"/>
    <d v="2015-01-10T00:00:00"/>
    <n v="6370.42"/>
    <n v="12"/>
    <x v="96"/>
    <n v="87463"/>
  </r>
  <r>
    <n v="19317"/>
    <x v="4"/>
    <n v="0.04"/>
    <n v="10.14"/>
    <n v="2.27"/>
    <n v="169"/>
    <s v="Janice Cole"/>
    <s v="Regular Air"/>
    <s v="Corporate"/>
    <x v="0"/>
    <s v="Paper"/>
    <s v="Wrap Bag"/>
    <x v="82"/>
    <n v="0.36"/>
    <s v="United States"/>
    <x v="3"/>
    <s v="Louisiana"/>
    <s v="Baton Rouge"/>
    <n v="70802"/>
    <x v="35"/>
    <d v="2015-01-07T00:00:00"/>
    <n v="20.8"/>
    <n v="3"/>
    <x v="97"/>
    <n v="87463"/>
  </r>
  <r>
    <n v="19314"/>
    <x v="2"/>
    <n v="0.05"/>
    <n v="1.88"/>
    <n v="1.49"/>
    <n v="171"/>
    <s v="Christina Matthews"/>
    <s v="Regular Air"/>
    <s v="Corporate"/>
    <x v="0"/>
    <s v="Binders and Binder Accessories"/>
    <s v="Small Box"/>
    <x v="83"/>
    <n v="0.37"/>
    <s v="United States"/>
    <x v="1"/>
    <s v="New Jersey"/>
    <s v="Fort Lee"/>
    <n v="7024"/>
    <x v="53"/>
    <d v="2015-04-15T00:00:00"/>
    <n v="1.54"/>
    <n v="1"/>
    <x v="98"/>
    <n v="874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16D8EF-887B-40E2-B4BF-63C129764814}"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2" firstHeaderRow="0" firstDataRow="1" firstDataCol="1"/>
  <pivotFields count="25">
    <pivotField dataField="1" showAll="0"/>
    <pivotField showAll="0">
      <items count="6">
        <item x="2"/>
        <item x="0"/>
        <item x="4"/>
        <item x="3"/>
        <item x="1"/>
        <item t="default"/>
      </items>
    </pivotField>
    <pivotField showAll="0"/>
    <pivotField showAll="0"/>
    <pivotField showAll="0"/>
    <pivotField showAll="0"/>
    <pivotField showAll="0"/>
    <pivotField showAll="0"/>
    <pivotField showAll="0"/>
    <pivotField axis="axisRow" showAll="0">
      <items count="4">
        <item h="1" x="1"/>
        <item h="1" x="0"/>
        <item x="2"/>
        <item t="default"/>
      </items>
    </pivotField>
    <pivotField showAll="0"/>
    <pivotField showAll="0"/>
    <pivotField showAll="0"/>
    <pivotField showAll="0"/>
    <pivotField showAll="0"/>
    <pivotField axis="axisRow" showAll="0">
      <items count="5">
        <item x="2"/>
        <item x="1"/>
        <item x="3"/>
        <item x="0"/>
        <item t="default"/>
      </items>
    </pivotField>
    <pivotField showAll="0"/>
    <pivotField showAll="0"/>
    <pivotField showAll="0"/>
    <pivotField numFmtId="14" showAll="0"/>
    <pivotField numFmtId="14" showAll="0"/>
    <pivotField showAll="0"/>
    <pivotField showAll="0"/>
    <pivotField dataField="1" showAll="0"/>
    <pivotField showAll="0"/>
  </pivotFields>
  <rowFields count="2">
    <field x="15"/>
    <field x="9"/>
  </rowFields>
  <rowItems count="9">
    <i>
      <x/>
    </i>
    <i r="1">
      <x v="2"/>
    </i>
    <i>
      <x v="1"/>
    </i>
    <i r="1">
      <x v="2"/>
    </i>
    <i>
      <x v="2"/>
    </i>
    <i r="1">
      <x v="2"/>
    </i>
    <i>
      <x v="3"/>
    </i>
    <i r="1">
      <x v="2"/>
    </i>
    <i t="grand">
      <x/>
    </i>
  </rowItems>
  <colFields count="1">
    <field x="-2"/>
  </colFields>
  <colItems count="2">
    <i>
      <x/>
    </i>
    <i i="1">
      <x v="1"/>
    </i>
  </colItems>
  <dataFields count="2">
    <dataField name="Sum of Row ID" fld="0" baseField="0" baseItem="0"/>
    <dataField name="Sum of Sales" fld="2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FF3282-985C-4C02-A5B2-A1485928E971}"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5" firstHeaderRow="0" firstDataRow="1" firstDataCol="1"/>
  <pivotFields count="25">
    <pivotField dataField="1" showAll="0"/>
    <pivotField showAll="0">
      <items count="6">
        <item x="2"/>
        <item x="0"/>
        <item x="4"/>
        <item x="3"/>
        <item x="1"/>
        <item t="default"/>
      </items>
    </pivotField>
    <pivotField showAll="0"/>
    <pivotField showAll="0"/>
    <pivotField showAll="0"/>
    <pivotField showAll="0"/>
    <pivotField showAll="0"/>
    <pivotField showAll="0"/>
    <pivotField showAll="0"/>
    <pivotField axis="axisRow" showAll="0">
      <items count="4">
        <item h="1" x="1"/>
        <item h="1" x="0"/>
        <item x="2"/>
        <item t="default"/>
      </items>
    </pivotField>
    <pivotField showAll="0"/>
    <pivotField showAll="0"/>
    <pivotField showAll="0">
      <items count="85">
        <item x="61"/>
        <item x="44"/>
        <item x="32"/>
        <item x="50"/>
        <item x="38"/>
        <item x="24"/>
        <item x="58"/>
        <item x="47"/>
        <item x="59"/>
        <item x="13"/>
        <item x="43"/>
        <item x="23"/>
        <item x="52"/>
        <item x="41"/>
        <item x="31"/>
        <item x="57"/>
        <item x="53"/>
        <item x="51"/>
        <item x="49"/>
        <item x="76"/>
        <item x="77"/>
        <item x="18"/>
        <item x="11"/>
        <item x="2"/>
        <item x="54"/>
        <item x="33"/>
        <item x="27"/>
        <item x="55"/>
        <item x="72"/>
        <item x="16"/>
        <item x="60"/>
        <item x="80"/>
        <item x="40"/>
        <item x="63"/>
        <item x="56"/>
        <item x="39"/>
        <item x="68"/>
        <item x="36"/>
        <item x="1"/>
        <item x="7"/>
        <item x="12"/>
        <item x="34"/>
        <item x="37"/>
        <item x="35"/>
        <item x="3"/>
        <item x="17"/>
        <item x="66"/>
        <item x="74"/>
        <item x="28"/>
        <item x="4"/>
        <item x="15"/>
        <item x="71"/>
        <item x="22"/>
        <item x="5"/>
        <item x="48"/>
        <item x="6"/>
        <item x="79"/>
        <item x="25"/>
        <item x="69"/>
        <item x="81"/>
        <item x="42"/>
        <item x="45"/>
        <item x="0"/>
        <item x="30"/>
        <item x="9"/>
        <item x="82"/>
        <item x="83"/>
        <item x="19"/>
        <item x="10"/>
        <item x="73"/>
        <item x="21"/>
        <item x="75"/>
        <item x="67"/>
        <item x="20"/>
        <item x="8"/>
        <item x="70"/>
        <item x="65"/>
        <item x="46"/>
        <item x="26"/>
        <item x="29"/>
        <item x="62"/>
        <item x="14"/>
        <item x="78"/>
        <item x="64"/>
        <item t="default"/>
      </items>
    </pivotField>
    <pivotField showAll="0"/>
    <pivotField showAll="0"/>
    <pivotField showAll="0"/>
    <pivotField showAll="0"/>
    <pivotField showAll="0"/>
    <pivotField showAll="0"/>
    <pivotField numFmtId="14" showAll="0"/>
    <pivotField numFmtId="14" showAll="0"/>
    <pivotField showAll="0"/>
    <pivotField showAll="0"/>
    <pivotField dataField="1" showAll="0"/>
    <pivotField showAll="0"/>
  </pivotFields>
  <rowFields count="1">
    <field x="9"/>
  </rowFields>
  <rowItems count="2">
    <i>
      <x v="2"/>
    </i>
    <i t="grand">
      <x/>
    </i>
  </rowItems>
  <colFields count="1">
    <field x="-2"/>
  </colFields>
  <colItems count="2">
    <i>
      <x/>
    </i>
    <i i="1">
      <x v="1"/>
    </i>
  </colItems>
  <dataFields count="2">
    <dataField name="Sum of Row ID" fld="0" baseField="0" baseItem="0"/>
    <dataField name="Sum of Sales" fld="2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588B45-6529-4661-9BCA-0ED69ECAA3D1}"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4" firstHeaderRow="1" firstDataRow="1" firstDataCol="1"/>
  <pivotFields count="25">
    <pivotField showAll="0"/>
    <pivotField showAll="0"/>
    <pivotField showAll="0"/>
    <pivotField showAll="0"/>
    <pivotField showAll="0"/>
    <pivotField showAll="0"/>
    <pivotField showAll="0"/>
    <pivotField showAll="0"/>
    <pivotField showAll="0"/>
    <pivotField showAll="0">
      <items count="4">
        <item h="1" x="1"/>
        <item h="1" x="0"/>
        <item x="2"/>
        <item t="default"/>
      </items>
    </pivotField>
    <pivotField showAll="0"/>
    <pivotField showAll="0"/>
    <pivotField showAll="0">
      <items count="85">
        <item x="61"/>
        <item h="1" x="44"/>
        <item h="1" x="32"/>
        <item h="1" x="50"/>
        <item h="1" x="38"/>
        <item h="1" x="24"/>
        <item h="1" x="58"/>
        <item h="1" x="47"/>
        <item h="1" x="59"/>
        <item h="1" x="13"/>
        <item h="1" x="43"/>
        <item h="1" x="23"/>
        <item h="1" x="52"/>
        <item h="1" x="41"/>
        <item h="1" x="31"/>
        <item h="1" x="57"/>
        <item h="1" x="53"/>
        <item h="1" x="51"/>
        <item h="1" x="49"/>
        <item h="1" x="76"/>
        <item h="1" x="77"/>
        <item h="1" x="18"/>
        <item h="1" x="11"/>
        <item h="1" x="2"/>
        <item h="1" x="54"/>
        <item h="1" x="33"/>
        <item h="1" x="27"/>
        <item h="1" x="55"/>
        <item h="1" x="72"/>
        <item h="1" x="16"/>
        <item h="1" x="60"/>
        <item h="1" x="80"/>
        <item h="1" x="40"/>
        <item h="1" x="63"/>
        <item h="1" x="56"/>
        <item h="1" x="39"/>
        <item h="1" x="68"/>
        <item h="1" x="36"/>
        <item h="1" x="1"/>
        <item h="1" x="7"/>
        <item h="1" x="12"/>
        <item h="1" x="34"/>
        <item h="1" x="37"/>
        <item h="1" x="35"/>
        <item h="1" x="3"/>
        <item h="1" x="17"/>
        <item h="1" x="66"/>
        <item h="1" x="74"/>
        <item h="1" x="28"/>
        <item h="1" x="4"/>
        <item h="1" x="15"/>
        <item h="1" x="71"/>
        <item h="1" x="22"/>
        <item h="1" x="5"/>
        <item h="1" x="48"/>
        <item h="1" x="6"/>
        <item h="1" x="79"/>
        <item h="1" x="25"/>
        <item h="1" x="69"/>
        <item h="1" x="81"/>
        <item h="1" x="42"/>
        <item h="1" x="45"/>
        <item h="1" x="0"/>
        <item h="1" x="30"/>
        <item h="1" x="9"/>
        <item h="1" x="82"/>
        <item h="1" x="83"/>
        <item h="1" x="19"/>
        <item h="1" x="10"/>
        <item h="1" x="73"/>
        <item h="1" x="21"/>
        <item h="1" x="75"/>
        <item h="1" x="67"/>
        <item h="1" x="20"/>
        <item h="1" x="8"/>
        <item h="1" x="70"/>
        <item h="1" x="65"/>
        <item h="1" x="46"/>
        <item h="1" x="26"/>
        <item h="1" x="29"/>
        <item h="1" x="62"/>
        <item h="1" x="14"/>
        <item h="1" x="78"/>
        <item h="1" x="64"/>
        <item t="default"/>
      </items>
    </pivotField>
    <pivotField showAll="0"/>
    <pivotField showAll="0"/>
    <pivotField axis="axisRow" showAll="0">
      <items count="5">
        <item x="2"/>
        <item x="1"/>
        <item x="3"/>
        <item x="0"/>
        <item t="default"/>
      </items>
    </pivotField>
    <pivotField showAll="0"/>
    <pivotField showAll="0"/>
    <pivotField showAll="0"/>
    <pivotField numFmtId="14" showAll="0">
      <items count="55">
        <item h="1" x="22"/>
        <item h="1" x="35"/>
        <item h="1" x="0"/>
        <item h="1" x="52"/>
        <item x="38"/>
        <item h="1" x="43"/>
        <item h="1" x="13"/>
        <item h="1" x="46"/>
        <item h="1" x="51"/>
        <item h="1" x="39"/>
        <item h="1" x="9"/>
        <item h="1" x="23"/>
        <item h="1" x="6"/>
        <item h="1" x="2"/>
        <item h="1" x="29"/>
        <item h="1" x="11"/>
        <item h="1" x="21"/>
        <item h="1" x="30"/>
        <item h="1" x="17"/>
        <item h="1" x="14"/>
        <item h="1" x="24"/>
        <item h="1" x="44"/>
        <item h="1" x="27"/>
        <item h="1" x="12"/>
        <item h="1" x="48"/>
        <item h="1" x="25"/>
        <item h="1" x="36"/>
        <item h="1" x="34"/>
        <item h="1" x="4"/>
        <item h="1" x="37"/>
        <item h="1" x="53"/>
        <item h="1" x="47"/>
        <item h="1" x="18"/>
        <item h="1" x="45"/>
        <item h="1" x="10"/>
        <item h="1" x="32"/>
        <item h="1" x="19"/>
        <item h="1" x="16"/>
        <item h="1" x="3"/>
        <item h="1" x="50"/>
        <item h="1" x="7"/>
        <item h="1" x="41"/>
        <item h="1" x="28"/>
        <item h="1" x="8"/>
        <item h="1" x="40"/>
        <item h="1" x="5"/>
        <item h="1" x="42"/>
        <item h="1" x="26"/>
        <item h="1" x="31"/>
        <item h="1" x="20"/>
        <item h="1" x="1"/>
        <item h="1" x="15"/>
        <item h="1" x="49"/>
        <item h="1" x="33"/>
        <item t="default"/>
      </items>
    </pivotField>
    <pivotField numFmtId="14" showAll="0"/>
    <pivotField dataField="1" showAll="0"/>
    <pivotField showAll="0"/>
    <pivotField showAll="0">
      <items count="100">
        <item h="1" x="17"/>
        <item h="1" x="98"/>
        <item x="33"/>
        <item h="1" x="86"/>
        <item h="1" x="74"/>
        <item h="1" x="62"/>
        <item h="1" x="0"/>
        <item h="1" x="5"/>
        <item h="1" x="6"/>
        <item h="1" x="80"/>
        <item h="1" x="9"/>
        <item h="1" x="65"/>
        <item h="1" x="4"/>
        <item h="1" x="31"/>
        <item h="1" x="66"/>
        <item h="1" x="85"/>
        <item h="1" x="63"/>
        <item h="1" x="30"/>
        <item h="1" x="97"/>
        <item h="1" x="7"/>
        <item h="1" x="91"/>
        <item h="1" x="20"/>
        <item h="1" x="45"/>
        <item h="1" x="51"/>
        <item h="1" x="93"/>
        <item h="1" x="60"/>
        <item h="1" x="24"/>
        <item h="1" x="48"/>
        <item h="1" x="18"/>
        <item h="1" x="64"/>
        <item h="1" x="23"/>
        <item h="1" x="71"/>
        <item h="1" x="84"/>
        <item h="1" x="79"/>
        <item h="1" x="16"/>
        <item h="1" x="29"/>
        <item h="1" x="69"/>
        <item h="1" x="77"/>
        <item h="1" x="42"/>
        <item h="1" x="73"/>
        <item h="1" x="70"/>
        <item h="1" x="76"/>
        <item h="1" x="28"/>
        <item h="1" x="67"/>
        <item h="1" x="95"/>
        <item h="1" x="50"/>
        <item h="1" x="47"/>
        <item h="1" x="82"/>
        <item h="1" x="2"/>
        <item h="1" x="52"/>
        <item h="1" x="75"/>
        <item h="1" x="68"/>
        <item h="1" x="12"/>
        <item h="1" x="88"/>
        <item h="1" x="14"/>
        <item h="1" x="57"/>
        <item h="1" x="78"/>
        <item h="1" x="8"/>
        <item h="1" x="19"/>
        <item h="1" x="81"/>
        <item h="1" x="11"/>
        <item h="1" x="32"/>
        <item h="1" x="34"/>
        <item h="1" x="26"/>
        <item h="1" x="25"/>
        <item h="1" x="87"/>
        <item h="1" x="92"/>
        <item h="1" x="89"/>
        <item h="1" x="21"/>
        <item h="1" x="15"/>
        <item h="1" x="83"/>
        <item h="1" x="10"/>
        <item h="1" x="90"/>
        <item h="1" x="3"/>
        <item h="1" x="35"/>
        <item h="1" x="59"/>
        <item h="1" x="36"/>
        <item h="1" x="40"/>
        <item h="1" x="55"/>
        <item h="1" x="72"/>
        <item h="1" x="41"/>
        <item h="1" x="94"/>
        <item h="1" x="13"/>
        <item h="1" x="56"/>
        <item h="1" x="61"/>
        <item h="1" x="54"/>
        <item h="1" x="46"/>
        <item h="1" x="44"/>
        <item h="1" x="27"/>
        <item h="1" x="49"/>
        <item h="1" x="22"/>
        <item h="1" x="37"/>
        <item h="1" x="38"/>
        <item h="1" x="39"/>
        <item h="1" x="53"/>
        <item h="1" x="1"/>
        <item h="1" x="96"/>
        <item h="1" x="58"/>
        <item h="1" x="43"/>
        <item t="default"/>
      </items>
    </pivotField>
    <pivotField showAll="0"/>
  </pivotFields>
  <rowFields count="1">
    <field x="15"/>
  </rowFields>
  <rowItems count="1">
    <i t="grand">
      <x/>
    </i>
  </rowItems>
  <colItems count="1">
    <i/>
  </colItems>
  <dataFields count="1">
    <dataField name="Sum of Profit" fld="2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A63709FC-3EE3-4AEF-A152-56D7DB027E5C}" sourceName="Product Name">
  <pivotTables>
    <pivotTable tabId="4" name="PivotTable3"/>
  </pivotTables>
  <data>
    <tabular pivotCacheId="1735705344">
      <items count="84">
        <i x="61" s="1" nd="1"/>
        <i x="44" nd="1"/>
        <i x="32" nd="1"/>
        <i x="50" nd="1"/>
        <i x="38" nd="1"/>
        <i x="24" nd="1"/>
        <i x="58" nd="1"/>
        <i x="47" nd="1"/>
        <i x="59" nd="1"/>
        <i x="13" nd="1"/>
        <i x="43" nd="1"/>
        <i x="23" nd="1"/>
        <i x="52" nd="1"/>
        <i x="41" nd="1"/>
        <i x="31" nd="1"/>
        <i x="57" nd="1"/>
        <i x="53" nd="1"/>
        <i x="51" nd="1"/>
        <i x="49" nd="1"/>
        <i x="76" nd="1"/>
        <i x="77" nd="1"/>
        <i x="18" nd="1"/>
        <i x="11" nd="1"/>
        <i x="2" nd="1"/>
        <i x="54" nd="1"/>
        <i x="33" nd="1"/>
        <i x="27" nd="1"/>
        <i x="55" nd="1"/>
        <i x="72" nd="1"/>
        <i x="16" nd="1"/>
        <i x="60" nd="1"/>
        <i x="80" nd="1"/>
        <i x="40" nd="1"/>
        <i x="63" nd="1"/>
        <i x="56" nd="1"/>
        <i x="39" nd="1"/>
        <i x="68" nd="1"/>
        <i x="36" nd="1"/>
        <i x="1" nd="1"/>
        <i x="7" nd="1"/>
        <i x="12" nd="1"/>
        <i x="34" nd="1"/>
        <i x="37" nd="1"/>
        <i x="35" nd="1"/>
        <i x="3" nd="1"/>
        <i x="17" nd="1"/>
        <i x="66" nd="1"/>
        <i x="74" nd="1"/>
        <i x="28" nd="1"/>
        <i x="4" nd="1"/>
        <i x="15" nd="1"/>
        <i x="71" nd="1"/>
        <i x="22" nd="1"/>
        <i x="5" nd="1"/>
        <i x="48" nd="1"/>
        <i x="6" nd="1"/>
        <i x="79" nd="1"/>
        <i x="25" nd="1"/>
        <i x="69" nd="1"/>
        <i x="81" nd="1"/>
        <i x="42" nd="1"/>
        <i x="45" nd="1"/>
        <i x="0" nd="1"/>
        <i x="30" nd="1"/>
        <i x="9" nd="1"/>
        <i x="82" nd="1"/>
        <i x="83" nd="1"/>
        <i x="19" nd="1"/>
        <i x="10" nd="1"/>
        <i x="73" nd="1"/>
        <i x="21" nd="1"/>
        <i x="75" nd="1"/>
        <i x="67" nd="1"/>
        <i x="20" nd="1"/>
        <i x="8" nd="1"/>
        <i x="70" nd="1"/>
        <i x="65" nd="1"/>
        <i x="46" nd="1"/>
        <i x="26" nd="1"/>
        <i x="29" nd="1"/>
        <i x="62" nd="1"/>
        <i x="14" nd="1"/>
        <i x="78" nd="1"/>
        <i x="6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BF98AE8-15F1-43BB-A6D1-FD6A96A94DEC}" sourceName="Region">
  <pivotTables>
    <pivotTable tabId="4" name="PivotTable3"/>
  </pivotTables>
  <data>
    <tabular pivotCacheId="1735705344">
      <items count="4">
        <i x="2" s="1" nd="1"/>
        <i x="1" s="1" nd="1"/>
        <i x="3" s="1" nd="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6FEADCD5-E60C-4328-9211-410477C3ECFD}" sourceName="Sales">
  <pivotTables>
    <pivotTable tabId="4" name="PivotTable3"/>
  </pivotTables>
  <data>
    <tabular pivotCacheId="1735705344">
      <items count="99">
        <i x="17" nd="1"/>
        <i x="98" nd="1"/>
        <i x="33" s="1" nd="1"/>
        <i x="86" nd="1"/>
        <i x="74" nd="1"/>
        <i x="62" nd="1"/>
        <i x="0" nd="1"/>
        <i x="5" nd="1"/>
        <i x="6" nd="1"/>
        <i x="80" nd="1"/>
        <i x="9" nd="1"/>
        <i x="65" nd="1"/>
        <i x="4" nd="1"/>
        <i x="31" nd="1"/>
        <i x="66" nd="1"/>
        <i x="85" nd="1"/>
        <i x="63" nd="1"/>
        <i x="30" nd="1"/>
        <i x="97" nd="1"/>
        <i x="7" nd="1"/>
        <i x="91" nd="1"/>
        <i x="20" nd="1"/>
        <i x="45" nd="1"/>
        <i x="51" nd="1"/>
        <i x="93" nd="1"/>
        <i x="60" nd="1"/>
        <i x="24" nd="1"/>
        <i x="48" nd="1"/>
        <i x="18" nd="1"/>
        <i x="64" nd="1"/>
        <i x="23" nd="1"/>
        <i x="71" nd="1"/>
        <i x="84" nd="1"/>
        <i x="79" nd="1"/>
        <i x="16" nd="1"/>
        <i x="29" nd="1"/>
        <i x="69" nd="1"/>
        <i x="77" nd="1"/>
        <i x="42" nd="1"/>
        <i x="73" nd="1"/>
        <i x="70" nd="1"/>
        <i x="76" nd="1"/>
        <i x="28" nd="1"/>
        <i x="67" nd="1"/>
        <i x="95" nd="1"/>
        <i x="50" nd="1"/>
        <i x="47" nd="1"/>
        <i x="82" nd="1"/>
        <i x="2" nd="1"/>
        <i x="52" nd="1"/>
        <i x="75" nd="1"/>
        <i x="68" nd="1"/>
        <i x="12" nd="1"/>
        <i x="88" nd="1"/>
        <i x="14" nd="1"/>
        <i x="57" nd="1"/>
        <i x="78" nd="1"/>
        <i x="8" nd="1"/>
        <i x="19" nd="1"/>
        <i x="81" nd="1"/>
        <i x="11" nd="1"/>
        <i x="32" nd="1"/>
        <i x="34" nd="1"/>
        <i x="26" nd="1"/>
        <i x="25" nd="1"/>
        <i x="87" nd="1"/>
        <i x="92" nd="1"/>
        <i x="89" nd="1"/>
        <i x="21" nd="1"/>
        <i x="15" nd="1"/>
        <i x="83" nd="1"/>
        <i x="10" nd="1"/>
        <i x="90" nd="1"/>
        <i x="3" nd="1"/>
        <i x="35" nd="1"/>
        <i x="59" nd="1"/>
        <i x="36" nd="1"/>
        <i x="40" nd="1"/>
        <i x="55" nd="1"/>
        <i x="72" nd="1"/>
        <i x="41" nd="1"/>
        <i x="94" nd="1"/>
        <i x="13" nd="1"/>
        <i x="56" nd="1"/>
        <i x="61" nd="1"/>
        <i x="54" nd="1"/>
        <i x="46" nd="1"/>
        <i x="44" nd="1"/>
        <i x="27" nd="1"/>
        <i x="49" nd="1"/>
        <i x="22" nd="1"/>
        <i x="37" nd="1"/>
        <i x="38" nd="1"/>
        <i x="39" nd="1"/>
        <i x="53" nd="1"/>
        <i x="1" nd="1"/>
        <i x="96" nd="1"/>
        <i x="58" nd="1"/>
        <i x="4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4D36AD8E-BD4D-453C-817D-67B23D663A37}" sourceName="Order Date">
  <pivotTables>
    <pivotTable tabId="4" name="PivotTable3"/>
  </pivotTables>
  <data>
    <tabular pivotCacheId="1735705344">
      <items count="54">
        <i x="22" nd="1"/>
        <i x="35" nd="1"/>
        <i x="0" nd="1"/>
        <i x="52" nd="1"/>
        <i x="38" s="1" nd="1"/>
        <i x="43" nd="1"/>
        <i x="13" nd="1"/>
        <i x="46" nd="1"/>
        <i x="51" nd="1"/>
        <i x="39" nd="1"/>
        <i x="9" nd="1"/>
        <i x="23" nd="1"/>
        <i x="6" nd="1"/>
        <i x="2" nd="1"/>
        <i x="29" nd="1"/>
        <i x="11" nd="1"/>
        <i x="21" nd="1"/>
        <i x="30" nd="1"/>
        <i x="17" nd="1"/>
        <i x="14" nd="1"/>
        <i x="24" nd="1"/>
        <i x="44" nd="1"/>
        <i x="27" nd="1"/>
        <i x="12" nd="1"/>
        <i x="48" nd="1"/>
        <i x="25" nd="1"/>
        <i x="36" nd="1"/>
        <i x="34" nd="1"/>
        <i x="4" nd="1"/>
        <i x="37" nd="1"/>
        <i x="53" nd="1"/>
        <i x="47" nd="1"/>
        <i x="18" nd="1"/>
        <i x="45" nd="1"/>
        <i x="10" nd="1"/>
        <i x="32" nd="1"/>
        <i x="19" nd="1"/>
        <i x="16" nd="1"/>
        <i x="3" nd="1"/>
        <i x="50" nd="1"/>
        <i x="7" nd="1"/>
        <i x="41" nd="1"/>
        <i x="28" nd="1"/>
        <i x="8" nd="1"/>
        <i x="40" nd="1"/>
        <i x="5" nd="1"/>
        <i x="42" nd="1"/>
        <i x="26" nd="1"/>
        <i x="31" nd="1"/>
        <i x="20" nd="1"/>
        <i x="1" nd="1"/>
        <i x="15" nd="1"/>
        <i x="49" nd="1"/>
        <i x="3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62213C3-0FFF-4FEB-88C9-6F69235D878A}" sourceName="Product Category">
  <pivotTables>
    <pivotTable tabId="4" name="PivotTable3"/>
    <pivotTable tabId="3" name="PivotTable2"/>
    <pivotTable tabId="2" name="PivotTable1"/>
  </pivotTables>
  <data>
    <tabular pivotCacheId="1735705344">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5057B9F2-471A-42CC-897F-96A976152BFB}" cache="Slicer_Product_Name" caption="Product Name" rowHeight="234950"/>
  <slicer name="Region" xr10:uid="{2EA61F49-3DFD-49A2-9FB5-26A7D062EDBF}"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1" xr10:uid="{FA4D8687-BE01-45E3-83E9-679B5ADD233B}" cache="Slicer_Product_Name" caption="Product Name" rowHeight="234950"/>
  <slicer name="Region 1" xr10:uid="{4A47EAC0-A9D0-40E1-811A-0F7ABA2EFF0A}" cache="Slicer_Region" caption="Region" rowHeight="234950"/>
  <slicer name="Sales" xr10:uid="{F6773B61-2D3D-48D4-8456-008D9270925A}" cache="Slicer_Sales" caption="Sales" rowHeight="234950"/>
  <slicer name="Order Date" xr10:uid="{C0D1F3F9-5F7F-443F-B8F4-B8136D5AFE77}" cache="Slicer_Order_Date" caption="Order Date" rowHeight="234950"/>
  <slicer name="Product Category" xr10:uid="{0B138018-11EB-4E37-B520-E9933BF37801}" cache="Slicer_Product_Category" caption="Product 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9FE3E-8D36-42B5-A20E-CF28272F30EE}">
  <dimension ref="A3:C12"/>
  <sheetViews>
    <sheetView tabSelected="1" workbookViewId="0">
      <selection activeCell="F29" sqref="F29"/>
    </sheetView>
  </sheetViews>
  <sheetFormatPr defaultRowHeight="14.4" x14ac:dyDescent="0.3"/>
  <cols>
    <col min="1" max="1" width="14.33203125" bestFit="1" customWidth="1"/>
    <col min="2" max="2" width="13.44140625" bestFit="1" customWidth="1"/>
    <col min="3" max="3" width="11.6640625" bestFit="1" customWidth="1"/>
  </cols>
  <sheetData>
    <row r="3" spans="1:3" x14ac:dyDescent="0.3">
      <c r="A3" s="8" t="s">
        <v>275</v>
      </c>
      <c r="B3" t="s">
        <v>274</v>
      </c>
      <c r="C3" t="s">
        <v>277</v>
      </c>
    </row>
    <row r="4" spans="1:3" x14ac:dyDescent="0.3">
      <c r="A4" s="9" t="s">
        <v>61</v>
      </c>
      <c r="B4" s="7">
        <v>30489</v>
      </c>
      <c r="C4" s="7">
        <v>4616.96</v>
      </c>
    </row>
    <row r="5" spans="1:3" x14ac:dyDescent="0.3">
      <c r="A5" s="10" t="s">
        <v>77</v>
      </c>
      <c r="B5" s="7">
        <v>30489</v>
      </c>
      <c r="C5" s="7">
        <v>4616.96</v>
      </c>
    </row>
    <row r="6" spans="1:3" x14ac:dyDescent="0.3">
      <c r="A6" s="9" t="s">
        <v>53</v>
      </c>
      <c r="B6" s="7">
        <v>51319</v>
      </c>
      <c r="C6" s="7">
        <v>3397.19</v>
      </c>
    </row>
    <row r="7" spans="1:3" x14ac:dyDescent="0.3">
      <c r="A7" s="10" t="s">
        <v>77</v>
      </c>
      <c r="B7" s="7">
        <v>51319</v>
      </c>
      <c r="C7" s="7">
        <v>3397.19</v>
      </c>
    </row>
    <row r="8" spans="1:3" x14ac:dyDescent="0.3">
      <c r="A8" s="9" t="s">
        <v>136</v>
      </c>
      <c r="B8" s="7">
        <v>143985</v>
      </c>
      <c r="C8" s="7">
        <v>10632.739999999998</v>
      </c>
    </row>
    <row r="9" spans="1:3" x14ac:dyDescent="0.3">
      <c r="A9" s="10" t="s">
        <v>77</v>
      </c>
      <c r="B9" s="7">
        <v>143985</v>
      </c>
      <c r="C9" s="7">
        <v>10632.739999999998</v>
      </c>
    </row>
    <row r="10" spans="1:3" x14ac:dyDescent="0.3">
      <c r="A10" s="9" t="s">
        <v>34</v>
      </c>
      <c r="B10" s="7">
        <v>254020</v>
      </c>
      <c r="C10" s="7">
        <v>15683.66</v>
      </c>
    </row>
    <row r="11" spans="1:3" x14ac:dyDescent="0.3">
      <c r="A11" s="10" t="s">
        <v>77</v>
      </c>
      <c r="B11" s="7">
        <v>254020</v>
      </c>
      <c r="C11" s="7">
        <v>15683.66</v>
      </c>
    </row>
    <row r="12" spans="1:3" x14ac:dyDescent="0.3">
      <c r="A12" s="9" t="s">
        <v>276</v>
      </c>
      <c r="B12" s="7">
        <v>479813</v>
      </c>
      <c r="C12" s="7">
        <v>34330.550000000003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97792-2C9E-48DC-A0C9-5983E4EB79BB}">
  <dimension ref="A3:C5"/>
  <sheetViews>
    <sheetView workbookViewId="0">
      <selection activeCell="D28" sqref="D28"/>
    </sheetView>
  </sheetViews>
  <sheetFormatPr defaultRowHeight="14.4" x14ac:dyDescent="0.3"/>
  <cols>
    <col min="1" max="1" width="12.5546875" bestFit="1" customWidth="1"/>
    <col min="2" max="2" width="13.44140625" bestFit="1" customWidth="1"/>
    <col min="3" max="3" width="11.6640625" bestFit="1" customWidth="1"/>
  </cols>
  <sheetData>
    <row r="3" spans="1:3" x14ac:dyDescent="0.3">
      <c r="A3" s="8" t="s">
        <v>275</v>
      </c>
      <c r="B3" t="s">
        <v>274</v>
      </c>
      <c r="C3" t="s">
        <v>277</v>
      </c>
    </row>
    <row r="4" spans="1:3" x14ac:dyDescent="0.3">
      <c r="A4" s="9" t="s">
        <v>77</v>
      </c>
      <c r="B4" s="7">
        <v>479813</v>
      </c>
      <c r="C4" s="7">
        <v>34330.549999999996</v>
      </c>
    </row>
    <row r="5" spans="1:3" x14ac:dyDescent="0.3">
      <c r="A5" s="9" t="s">
        <v>276</v>
      </c>
      <c r="B5" s="7">
        <v>479813</v>
      </c>
      <c r="C5" s="7">
        <v>34330.549999999996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31DA5-9668-4B10-9349-0DBFEBCD38F4}">
  <dimension ref="A3:B4"/>
  <sheetViews>
    <sheetView workbookViewId="0">
      <selection activeCell="A3" sqref="A3"/>
    </sheetView>
  </sheetViews>
  <sheetFormatPr defaultRowHeight="14.4" x14ac:dyDescent="0.3"/>
  <cols>
    <col min="1" max="1" width="12.5546875" bestFit="1" customWidth="1"/>
    <col min="2" max="2" width="12.109375" bestFit="1" customWidth="1"/>
  </cols>
  <sheetData>
    <row r="3" spans="1:2" x14ac:dyDescent="0.3">
      <c r="A3" s="8" t="s">
        <v>275</v>
      </c>
      <c r="B3" t="s">
        <v>278</v>
      </c>
    </row>
    <row r="4" spans="1:2" x14ac:dyDescent="0.3">
      <c r="A4" s="9" t="s">
        <v>276</v>
      </c>
      <c r="B4" s="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18772-9565-4DCF-9473-E817768E8D1F}">
  <dimension ref="A1:Y100"/>
  <sheetViews>
    <sheetView topLeftCell="Q66" workbookViewId="0">
      <selection activeCell="V76" sqref="V76"/>
    </sheetView>
  </sheetViews>
  <sheetFormatPr defaultRowHeight="14.4" x14ac:dyDescent="0.3"/>
  <cols>
    <col min="2" max="2" width="14" bestFit="1" customWidth="1"/>
    <col min="7" max="7" width="19.109375" bestFit="1" customWidth="1"/>
    <col min="8" max="8" width="12.44140625" bestFit="1" customWidth="1"/>
    <col min="9" max="9" width="18.77734375" bestFit="1" customWidth="1"/>
    <col min="10" max="10" width="17.33203125" bestFit="1" customWidth="1"/>
    <col min="11" max="11" width="27.5546875" bestFit="1" customWidth="1"/>
    <col min="12" max="12" width="18.33203125" bestFit="1" customWidth="1"/>
    <col min="13" max="13" width="77.109375" bestFit="1" customWidth="1"/>
    <col min="14" max="14" width="20.5546875" bestFit="1" customWidth="1"/>
    <col min="15" max="15" width="11.88671875" bestFit="1" customWidth="1"/>
    <col min="17" max="17" width="17" bestFit="1" customWidth="1"/>
    <col min="18" max="18" width="12.5546875" bestFit="1" customWidth="1"/>
    <col min="19" max="19" width="12.109375" bestFit="1" customWidth="1"/>
    <col min="20" max="20" width="11.44140625" bestFit="1" customWidth="1"/>
    <col min="21" max="21" width="10.33203125" bestFit="1" customWidth="1"/>
    <col min="25" max="25" width="10.33203125" bestFit="1" customWidth="1"/>
  </cols>
  <sheetData>
    <row r="1" spans="1:25" s="1" customFormat="1" ht="15.6"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6" t="s">
        <v>24</v>
      </c>
    </row>
    <row r="2" spans="1:25" x14ac:dyDescent="0.3">
      <c r="A2" s="3">
        <v>20847</v>
      </c>
      <c r="B2" s="3" t="s">
        <v>25</v>
      </c>
      <c r="C2" s="3">
        <v>0.01</v>
      </c>
      <c r="D2" s="3">
        <v>2.84</v>
      </c>
      <c r="E2" s="3">
        <v>0.93</v>
      </c>
      <c r="F2" s="3">
        <v>3</v>
      </c>
      <c r="G2" s="3" t="s">
        <v>26</v>
      </c>
      <c r="H2" s="3" t="s">
        <v>27</v>
      </c>
      <c r="I2" s="3" t="s">
        <v>28</v>
      </c>
      <c r="J2" s="3" t="s">
        <v>29</v>
      </c>
      <c r="K2" s="3" t="s">
        <v>30</v>
      </c>
      <c r="L2" s="3" t="s">
        <v>31</v>
      </c>
      <c r="M2" s="3" t="s">
        <v>32</v>
      </c>
      <c r="N2" s="3">
        <v>0.54</v>
      </c>
      <c r="O2" s="3" t="s">
        <v>33</v>
      </c>
      <c r="P2" s="3" t="s">
        <v>34</v>
      </c>
      <c r="Q2" s="3" t="s">
        <v>35</v>
      </c>
      <c r="R2" s="3" t="s">
        <v>36</v>
      </c>
      <c r="S2" s="3">
        <v>98221</v>
      </c>
      <c r="T2" s="4">
        <v>42011</v>
      </c>
      <c r="U2" s="4">
        <v>42012</v>
      </c>
      <c r="V2" s="3">
        <f>X2-D2</f>
        <v>10.17</v>
      </c>
      <c r="W2" s="3">
        <v>4</v>
      </c>
      <c r="X2" s="3">
        <v>13.01</v>
      </c>
      <c r="Y2" s="3">
        <v>88522</v>
      </c>
    </row>
    <row r="3" spans="1:25" x14ac:dyDescent="0.3">
      <c r="A3" s="1">
        <v>20228</v>
      </c>
      <c r="B3" s="1" t="s">
        <v>37</v>
      </c>
      <c r="C3" s="1">
        <v>0.02</v>
      </c>
      <c r="D3" s="1">
        <v>500.98</v>
      </c>
      <c r="E3" s="1">
        <v>26</v>
      </c>
      <c r="F3" s="1">
        <v>5</v>
      </c>
      <c r="G3" s="1" t="s">
        <v>38</v>
      </c>
      <c r="H3" s="1" t="s">
        <v>39</v>
      </c>
      <c r="I3" s="1" t="s">
        <v>40</v>
      </c>
      <c r="J3" s="1" t="s">
        <v>41</v>
      </c>
      <c r="K3" s="1" t="s">
        <v>42</v>
      </c>
      <c r="L3" s="1" t="s">
        <v>43</v>
      </c>
      <c r="M3" s="1" t="s">
        <v>44</v>
      </c>
      <c r="N3" s="1">
        <v>0.6</v>
      </c>
      <c r="O3" s="1" t="s">
        <v>33</v>
      </c>
      <c r="P3" s="1" t="s">
        <v>34</v>
      </c>
      <c r="Q3" s="1" t="s">
        <v>45</v>
      </c>
      <c r="R3" s="1" t="s">
        <v>46</v>
      </c>
      <c r="S3" s="1">
        <v>91776</v>
      </c>
      <c r="T3" s="2">
        <v>42168</v>
      </c>
      <c r="U3" s="2">
        <v>42170</v>
      </c>
      <c r="V3" s="3">
        <f t="shared" ref="V3:V66" si="0">X3-D3</f>
        <v>5861.8700000000008</v>
      </c>
      <c r="W3" s="1">
        <v>12</v>
      </c>
      <c r="X3" s="1">
        <v>6362.85</v>
      </c>
      <c r="Y3" s="1">
        <v>90193</v>
      </c>
    </row>
    <row r="4" spans="1:25" x14ac:dyDescent="0.3">
      <c r="A4" s="1">
        <v>21776</v>
      </c>
      <c r="B4" s="1" t="s">
        <v>47</v>
      </c>
      <c r="C4" s="1">
        <v>0.06</v>
      </c>
      <c r="D4" s="1">
        <v>9.48</v>
      </c>
      <c r="E4" s="1">
        <v>7.29</v>
      </c>
      <c r="F4" s="1">
        <v>11</v>
      </c>
      <c r="G4" s="1" t="s">
        <v>48</v>
      </c>
      <c r="H4" s="1" t="s">
        <v>49</v>
      </c>
      <c r="I4" s="1" t="s">
        <v>40</v>
      </c>
      <c r="J4" s="1" t="s">
        <v>41</v>
      </c>
      <c r="K4" s="1" t="s">
        <v>50</v>
      </c>
      <c r="L4" s="1" t="s">
        <v>51</v>
      </c>
      <c r="M4" s="1" t="s">
        <v>52</v>
      </c>
      <c r="N4" s="1">
        <v>0.45</v>
      </c>
      <c r="O4" s="1" t="s">
        <v>33</v>
      </c>
      <c r="P4" s="1" t="s">
        <v>53</v>
      </c>
      <c r="Q4" s="1" t="s">
        <v>54</v>
      </c>
      <c r="R4" s="1" t="s">
        <v>55</v>
      </c>
      <c r="S4" s="1">
        <v>7203</v>
      </c>
      <c r="T4" s="2">
        <v>42050</v>
      </c>
      <c r="U4" s="2">
        <v>42052</v>
      </c>
      <c r="V4" s="3">
        <f t="shared" si="0"/>
        <v>201.67000000000002</v>
      </c>
      <c r="W4" s="1">
        <v>22</v>
      </c>
      <c r="X4" s="1">
        <v>211.15</v>
      </c>
      <c r="Y4" s="1">
        <v>90192</v>
      </c>
    </row>
    <row r="5" spans="1:25" x14ac:dyDescent="0.3">
      <c r="A5" s="1">
        <v>24844</v>
      </c>
      <c r="B5" s="1" t="s">
        <v>56</v>
      </c>
      <c r="C5" s="1">
        <v>0.09</v>
      </c>
      <c r="D5" s="1">
        <v>78.69</v>
      </c>
      <c r="E5" s="1">
        <v>19.989999999999998</v>
      </c>
      <c r="F5" s="1">
        <v>14</v>
      </c>
      <c r="G5" s="1" t="s">
        <v>57</v>
      </c>
      <c r="H5" s="1" t="s">
        <v>49</v>
      </c>
      <c r="I5" s="1" t="s">
        <v>58</v>
      </c>
      <c r="J5" s="1" t="s">
        <v>41</v>
      </c>
      <c r="K5" s="1" t="s">
        <v>50</v>
      </c>
      <c r="L5" s="1" t="s">
        <v>59</v>
      </c>
      <c r="M5" s="1" t="s">
        <v>60</v>
      </c>
      <c r="N5" s="1">
        <v>0.43</v>
      </c>
      <c r="O5" s="1" t="s">
        <v>33</v>
      </c>
      <c r="P5" s="1" t="s">
        <v>61</v>
      </c>
      <c r="Q5" s="1" t="s">
        <v>62</v>
      </c>
      <c r="R5" s="1" t="s">
        <v>63</v>
      </c>
      <c r="S5" s="1">
        <v>55372</v>
      </c>
      <c r="T5" s="2">
        <v>42136</v>
      </c>
      <c r="U5" s="2">
        <v>42138</v>
      </c>
      <c r="V5" s="3">
        <f t="shared" si="0"/>
        <v>1085.76</v>
      </c>
      <c r="W5" s="1">
        <v>16</v>
      </c>
      <c r="X5" s="1">
        <v>1164.45</v>
      </c>
      <c r="Y5" s="1">
        <v>86838</v>
      </c>
    </row>
    <row r="6" spans="1:25" x14ac:dyDescent="0.3">
      <c r="A6" s="1">
        <v>24846</v>
      </c>
      <c r="B6" s="1" t="s">
        <v>56</v>
      </c>
      <c r="C6" s="1">
        <v>0.08</v>
      </c>
      <c r="D6" s="1">
        <v>3.28</v>
      </c>
      <c r="E6" s="1">
        <v>2.31</v>
      </c>
      <c r="F6" s="1">
        <v>14</v>
      </c>
      <c r="G6" s="1" t="s">
        <v>57</v>
      </c>
      <c r="H6" s="1" t="s">
        <v>49</v>
      </c>
      <c r="I6" s="1" t="s">
        <v>58</v>
      </c>
      <c r="J6" s="1" t="s">
        <v>29</v>
      </c>
      <c r="K6" s="1" t="s">
        <v>30</v>
      </c>
      <c r="L6" s="1" t="s">
        <v>31</v>
      </c>
      <c r="M6" s="1" t="s">
        <v>64</v>
      </c>
      <c r="N6" s="1">
        <v>0.56000000000000005</v>
      </c>
      <c r="O6" s="1" t="s">
        <v>33</v>
      </c>
      <c r="P6" s="1" t="s">
        <v>61</v>
      </c>
      <c r="Q6" s="1" t="s">
        <v>62</v>
      </c>
      <c r="R6" s="1" t="s">
        <v>63</v>
      </c>
      <c r="S6" s="1">
        <v>55372</v>
      </c>
      <c r="T6" s="2">
        <v>42136</v>
      </c>
      <c r="U6" s="2">
        <v>42137</v>
      </c>
      <c r="V6" s="3">
        <f t="shared" si="0"/>
        <v>18.95</v>
      </c>
      <c r="W6" s="1">
        <v>7</v>
      </c>
      <c r="X6" s="1">
        <v>22.23</v>
      </c>
      <c r="Y6" s="1">
        <v>86838</v>
      </c>
    </row>
    <row r="7" spans="1:25" x14ac:dyDescent="0.3">
      <c r="A7" s="1">
        <v>24847</v>
      </c>
      <c r="B7" s="1" t="s">
        <v>56</v>
      </c>
      <c r="C7" s="1">
        <v>0.05</v>
      </c>
      <c r="D7" s="1">
        <v>3.28</v>
      </c>
      <c r="E7" s="1">
        <v>4.2</v>
      </c>
      <c r="F7" s="1">
        <v>14</v>
      </c>
      <c r="G7" s="1" t="s">
        <v>57</v>
      </c>
      <c r="H7" s="1" t="s">
        <v>49</v>
      </c>
      <c r="I7" s="1" t="s">
        <v>58</v>
      </c>
      <c r="J7" s="1" t="s">
        <v>29</v>
      </c>
      <c r="K7" s="1" t="s">
        <v>30</v>
      </c>
      <c r="L7" s="1" t="s">
        <v>31</v>
      </c>
      <c r="M7" s="1" t="s">
        <v>65</v>
      </c>
      <c r="N7" s="1">
        <v>0.56000000000000005</v>
      </c>
      <c r="O7" s="1" t="s">
        <v>33</v>
      </c>
      <c r="P7" s="1" t="s">
        <v>61</v>
      </c>
      <c r="Q7" s="1" t="s">
        <v>62</v>
      </c>
      <c r="R7" s="1" t="s">
        <v>63</v>
      </c>
      <c r="S7" s="1">
        <v>55372</v>
      </c>
      <c r="T7" s="2">
        <v>42136</v>
      </c>
      <c r="U7" s="2">
        <v>42137</v>
      </c>
      <c r="V7" s="3">
        <f t="shared" si="0"/>
        <v>10.71</v>
      </c>
      <c r="W7" s="1">
        <v>4</v>
      </c>
      <c r="X7" s="1">
        <v>13.99</v>
      </c>
      <c r="Y7" s="1">
        <v>86838</v>
      </c>
    </row>
    <row r="8" spans="1:25" x14ac:dyDescent="0.3">
      <c r="A8" s="1">
        <v>24848</v>
      </c>
      <c r="B8" s="1" t="s">
        <v>56</v>
      </c>
      <c r="C8" s="1">
        <v>0.05</v>
      </c>
      <c r="D8" s="1">
        <v>3.58</v>
      </c>
      <c r="E8" s="1">
        <v>1.63</v>
      </c>
      <c r="F8" s="1">
        <v>14</v>
      </c>
      <c r="G8" s="1" t="s">
        <v>57</v>
      </c>
      <c r="H8" s="1" t="s">
        <v>49</v>
      </c>
      <c r="I8" s="1" t="s">
        <v>58</v>
      </c>
      <c r="J8" s="1" t="s">
        <v>29</v>
      </c>
      <c r="K8" s="1" t="s">
        <v>66</v>
      </c>
      <c r="L8" s="1" t="s">
        <v>31</v>
      </c>
      <c r="M8" s="1" t="s">
        <v>67</v>
      </c>
      <c r="N8" s="1">
        <v>0.36</v>
      </c>
      <c r="O8" s="1" t="s">
        <v>33</v>
      </c>
      <c r="P8" s="1" t="s">
        <v>61</v>
      </c>
      <c r="Q8" s="1" t="s">
        <v>62</v>
      </c>
      <c r="R8" s="1" t="s">
        <v>63</v>
      </c>
      <c r="S8" s="1">
        <v>55372</v>
      </c>
      <c r="T8" s="2">
        <v>42136</v>
      </c>
      <c r="U8" s="2">
        <v>42137</v>
      </c>
      <c r="V8" s="3">
        <f t="shared" si="0"/>
        <v>10.68</v>
      </c>
      <c r="W8" s="1">
        <v>4</v>
      </c>
      <c r="X8" s="1">
        <v>14.26</v>
      </c>
      <c r="Y8" s="1">
        <v>86838</v>
      </c>
    </row>
    <row r="9" spans="1:25" x14ac:dyDescent="0.3">
      <c r="A9" s="1">
        <v>18181</v>
      </c>
      <c r="B9" s="1" t="s">
        <v>47</v>
      </c>
      <c r="C9" s="1">
        <v>0</v>
      </c>
      <c r="D9" s="1">
        <v>4.42</v>
      </c>
      <c r="E9" s="1">
        <v>4.99</v>
      </c>
      <c r="F9" s="1">
        <v>15</v>
      </c>
      <c r="G9" s="1" t="s">
        <v>68</v>
      </c>
      <c r="H9" s="1" t="s">
        <v>49</v>
      </c>
      <c r="I9" s="1" t="s">
        <v>58</v>
      </c>
      <c r="J9" s="1" t="s">
        <v>29</v>
      </c>
      <c r="K9" s="1" t="s">
        <v>69</v>
      </c>
      <c r="L9" s="1" t="s">
        <v>59</v>
      </c>
      <c r="M9" s="1" t="s">
        <v>70</v>
      </c>
      <c r="N9" s="1">
        <v>0.38</v>
      </c>
      <c r="O9" s="1" t="s">
        <v>33</v>
      </c>
      <c r="P9" s="1" t="s">
        <v>53</v>
      </c>
      <c r="Q9" s="1" t="s">
        <v>71</v>
      </c>
      <c r="R9" s="1" t="s">
        <v>72</v>
      </c>
      <c r="S9" s="1">
        <v>11787</v>
      </c>
      <c r="T9" s="2">
        <v>42102</v>
      </c>
      <c r="U9" s="2">
        <v>42103</v>
      </c>
      <c r="V9" s="3">
        <f t="shared" si="0"/>
        <v>29.049999999999997</v>
      </c>
      <c r="W9" s="1">
        <v>7</v>
      </c>
      <c r="X9" s="1">
        <v>33.47</v>
      </c>
      <c r="Y9" s="1">
        <v>86837</v>
      </c>
    </row>
    <row r="10" spans="1:25" x14ac:dyDescent="0.3">
      <c r="A10" s="1">
        <v>20925</v>
      </c>
      <c r="B10" s="1" t="s">
        <v>56</v>
      </c>
      <c r="C10" s="1">
        <v>0.01</v>
      </c>
      <c r="D10" s="1">
        <v>35.94</v>
      </c>
      <c r="E10" s="1">
        <v>6.66</v>
      </c>
      <c r="F10" s="1">
        <v>15</v>
      </c>
      <c r="G10" s="1" t="s">
        <v>68</v>
      </c>
      <c r="H10" s="1" t="s">
        <v>49</v>
      </c>
      <c r="I10" s="1" t="s">
        <v>58</v>
      </c>
      <c r="J10" s="1" t="s">
        <v>29</v>
      </c>
      <c r="K10" s="1" t="s">
        <v>69</v>
      </c>
      <c r="L10" s="1" t="s">
        <v>59</v>
      </c>
      <c r="M10" s="1" t="s">
        <v>73</v>
      </c>
      <c r="N10" s="1">
        <v>0.4</v>
      </c>
      <c r="O10" s="1" t="s">
        <v>33</v>
      </c>
      <c r="P10" s="1" t="s">
        <v>53</v>
      </c>
      <c r="Q10" s="1" t="s">
        <v>71</v>
      </c>
      <c r="R10" s="1" t="s">
        <v>72</v>
      </c>
      <c r="S10" s="1">
        <v>11787</v>
      </c>
      <c r="T10" s="2">
        <v>42152</v>
      </c>
      <c r="U10" s="2">
        <v>42152</v>
      </c>
      <c r="V10" s="3">
        <f t="shared" si="0"/>
        <v>343.59</v>
      </c>
      <c r="W10" s="1">
        <v>10</v>
      </c>
      <c r="X10" s="1">
        <v>379.53</v>
      </c>
      <c r="Y10" s="1">
        <v>86839</v>
      </c>
    </row>
    <row r="11" spans="1:25" x14ac:dyDescent="0.3">
      <c r="A11" s="1">
        <v>26267</v>
      </c>
      <c r="B11" s="1" t="s">
        <v>25</v>
      </c>
      <c r="C11" s="1">
        <v>0.04</v>
      </c>
      <c r="D11" s="1">
        <v>2.98</v>
      </c>
      <c r="E11" s="1">
        <v>1.58</v>
      </c>
      <c r="F11" s="1">
        <v>16</v>
      </c>
      <c r="G11" s="1" t="s">
        <v>74</v>
      </c>
      <c r="H11" s="1" t="s">
        <v>49</v>
      </c>
      <c r="I11" s="1" t="s">
        <v>58</v>
      </c>
      <c r="J11" s="1" t="s">
        <v>29</v>
      </c>
      <c r="K11" s="1" t="s">
        <v>66</v>
      </c>
      <c r="L11" s="1" t="s">
        <v>31</v>
      </c>
      <c r="M11" s="1" t="s">
        <v>75</v>
      </c>
      <c r="N11" s="1">
        <v>0.39</v>
      </c>
      <c r="O11" s="1" t="s">
        <v>33</v>
      </c>
      <c r="P11" s="1" t="s">
        <v>53</v>
      </c>
      <c r="Q11" s="1" t="s">
        <v>71</v>
      </c>
      <c r="R11" s="1" t="s">
        <v>76</v>
      </c>
      <c r="S11" s="1">
        <v>13210</v>
      </c>
      <c r="T11" s="2">
        <v>42047</v>
      </c>
      <c r="U11" s="2">
        <v>42050</v>
      </c>
      <c r="V11" s="3">
        <f t="shared" si="0"/>
        <v>15.82</v>
      </c>
      <c r="W11" s="1">
        <v>6</v>
      </c>
      <c r="X11" s="1">
        <v>18.8</v>
      </c>
      <c r="Y11" s="1">
        <v>86836</v>
      </c>
    </row>
    <row r="12" spans="1:25" x14ac:dyDescent="0.3">
      <c r="A12" s="1">
        <v>26268</v>
      </c>
      <c r="B12" s="1" t="s">
        <v>25</v>
      </c>
      <c r="C12" s="1">
        <v>0.05</v>
      </c>
      <c r="D12" s="1">
        <v>115.99</v>
      </c>
      <c r="E12" s="1">
        <v>2.5</v>
      </c>
      <c r="F12" s="1">
        <v>16</v>
      </c>
      <c r="G12" s="1" t="s">
        <v>74</v>
      </c>
      <c r="H12" s="1" t="s">
        <v>49</v>
      </c>
      <c r="I12" s="1" t="s">
        <v>58</v>
      </c>
      <c r="J12" s="1" t="s">
        <v>77</v>
      </c>
      <c r="K12" s="1" t="s">
        <v>78</v>
      </c>
      <c r="L12" s="1" t="s">
        <v>59</v>
      </c>
      <c r="M12" s="1" t="s">
        <v>79</v>
      </c>
      <c r="N12" s="1">
        <v>0.55000000000000004</v>
      </c>
      <c r="O12" s="1" t="s">
        <v>33</v>
      </c>
      <c r="P12" s="1" t="s">
        <v>53</v>
      </c>
      <c r="Q12" s="1" t="s">
        <v>71</v>
      </c>
      <c r="R12" s="1" t="s">
        <v>76</v>
      </c>
      <c r="S12" s="1">
        <v>13210</v>
      </c>
      <c r="T12" s="2">
        <v>42047</v>
      </c>
      <c r="U12" s="2">
        <v>42049</v>
      </c>
      <c r="V12" s="3">
        <f t="shared" si="0"/>
        <v>830</v>
      </c>
      <c r="W12" s="1">
        <v>10</v>
      </c>
      <c r="X12" s="1">
        <v>945.99</v>
      </c>
      <c r="Y12" s="1">
        <v>86836</v>
      </c>
    </row>
    <row r="13" spans="1:25" x14ac:dyDescent="0.3">
      <c r="A13" s="1">
        <v>23890</v>
      </c>
      <c r="B13" s="1" t="s">
        <v>25</v>
      </c>
      <c r="C13" s="1">
        <v>0.05</v>
      </c>
      <c r="D13" s="1">
        <v>26.48</v>
      </c>
      <c r="E13" s="1">
        <v>6.93</v>
      </c>
      <c r="F13" s="1">
        <v>18</v>
      </c>
      <c r="G13" s="1" t="s">
        <v>80</v>
      </c>
      <c r="H13" s="1" t="s">
        <v>49</v>
      </c>
      <c r="I13" s="1" t="s">
        <v>58</v>
      </c>
      <c r="J13" s="1" t="s">
        <v>41</v>
      </c>
      <c r="K13" s="1" t="s">
        <v>50</v>
      </c>
      <c r="L13" s="1" t="s">
        <v>59</v>
      </c>
      <c r="M13" s="1" t="s">
        <v>81</v>
      </c>
      <c r="N13" s="1">
        <v>0.49</v>
      </c>
      <c r="O13" s="1" t="s">
        <v>33</v>
      </c>
      <c r="P13" s="1" t="s">
        <v>34</v>
      </c>
      <c r="Q13" s="1" t="s">
        <v>82</v>
      </c>
      <c r="R13" s="1" t="s">
        <v>83</v>
      </c>
      <c r="S13" s="1">
        <v>59601</v>
      </c>
      <c r="T13" s="2">
        <v>42139</v>
      </c>
      <c r="U13" s="2">
        <v>42140</v>
      </c>
      <c r="V13" s="3">
        <f t="shared" si="0"/>
        <v>429.28999999999996</v>
      </c>
      <c r="W13" s="1">
        <v>17</v>
      </c>
      <c r="X13" s="1">
        <v>455.77</v>
      </c>
      <c r="Y13" s="1">
        <v>90031</v>
      </c>
    </row>
    <row r="14" spans="1:25" x14ac:dyDescent="0.3">
      <c r="A14" s="1">
        <v>24063</v>
      </c>
      <c r="B14" s="1" t="s">
        <v>37</v>
      </c>
      <c r="C14" s="1">
        <v>7.0000000000000007E-2</v>
      </c>
      <c r="D14" s="1">
        <v>12.99</v>
      </c>
      <c r="E14" s="1">
        <v>9.44</v>
      </c>
      <c r="F14" s="1">
        <v>19</v>
      </c>
      <c r="G14" s="1" t="s">
        <v>84</v>
      </c>
      <c r="H14" s="1" t="s">
        <v>49</v>
      </c>
      <c r="I14" s="1" t="s">
        <v>58</v>
      </c>
      <c r="J14" s="1" t="s">
        <v>77</v>
      </c>
      <c r="K14" s="1" t="s">
        <v>85</v>
      </c>
      <c r="L14" s="1" t="s">
        <v>86</v>
      </c>
      <c r="M14" s="1" t="s">
        <v>87</v>
      </c>
      <c r="N14" s="1">
        <v>0.39</v>
      </c>
      <c r="O14" s="1" t="s">
        <v>33</v>
      </c>
      <c r="P14" s="1" t="s">
        <v>34</v>
      </c>
      <c r="Q14" s="1" t="s">
        <v>82</v>
      </c>
      <c r="R14" s="1" t="s">
        <v>88</v>
      </c>
      <c r="S14" s="1">
        <v>59801</v>
      </c>
      <c r="T14" s="2">
        <v>42145</v>
      </c>
      <c r="U14" s="2">
        <v>42147</v>
      </c>
      <c r="V14" s="3">
        <f t="shared" si="0"/>
        <v>218.79999999999998</v>
      </c>
      <c r="W14" s="1">
        <v>18</v>
      </c>
      <c r="X14" s="1">
        <v>231.79</v>
      </c>
      <c r="Y14" s="1">
        <v>90032</v>
      </c>
    </row>
    <row r="15" spans="1:25" x14ac:dyDescent="0.3">
      <c r="A15" s="1">
        <v>5890</v>
      </c>
      <c r="B15" s="1" t="s">
        <v>25</v>
      </c>
      <c r="C15" s="1">
        <v>0.05</v>
      </c>
      <c r="D15" s="1">
        <v>26.48</v>
      </c>
      <c r="E15" s="1">
        <v>6.93</v>
      </c>
      <c r="F15" s="1">
        <v>21</v>
      </c>
      <c r="G15" s="1" t="s">
        <v>89</v>
      </c>
      <c r="H15" s="1" t="s">
        <v>49</v>
      </c>
      <c r="I15" s="1" t="s">
        <v>58</v>
      </c>
      <c r="J15" s="1" t="s">
        <v>41</v>
      </c>
      <c r="K15" s="1" t="s">
        <v>50</v>
      </c>
      <c r="L15" s="1" t="s">
        <v>59</v>
      </c>
      <c r="M15" s="1" t="s">
        <v>81</v>
      </c>
      <c r="N15" s="1">
        <v>0.49</v>
      </c>
      <c r="O15" s="1" t="s">
        <v>33</v>
      </c>
      <c r="P15" s="1" t="s">
        <v>53</v>
      </c>
      <c r="Q15" s="1" t="s">
        <v>71</v>
      </c>
      <c r="R15" s="1" t="s">
        <v>90</v>
      </c>
      <c r="S15" s="1">
        <v>10012</v>
      </c>
      <c r="T15" s="2">
        <v>42139</v>
      </c>
      <c r="U15" s="2">
        <v>42140</v>
      </c>
      <c r="V15" s="3">
        <f t="shared" si="0"/>
        <v>1850.21</v>
      </c>
      <c r="W15" s="1">
        <v>70</v>
      </c>
      <c r="X15" s="1">
        <v>1876.69</v>
      </c>
      <c r="Y15" s="1">
        <v>41793</v>
      </c>
    </row>
    <row r="16" spans="1:25" x14ac:dyDescent="0.3">
      <c r="A16" s="1">
        <v>6062</v>
      </c>
      <c r="B16" s="1" t="s">
        <v>37</v>
      </c>
      <c r="C16" s="1">
        <v>0.08</v>
      </c>
      <c r="D16" s="1">
        <v>5</v>
      </c>
      <c r="E16" s="1">
        <v>3.39</v>
      </c>
      <c r="F16" s="1">
        <v>21</v>
      </c>
      <c r="G16" s="1" t="s">
        <v>89</v>
      </c>
      <c r="H16" s="1" t="s">
        <v>49</v>
      </c>
      <c r="I16" s="1" t="s">
        <v>58</v>
      </c>
      <c r="J16" s="1" t="s">
        <v>29</v>
      </c>
      <c r="K16" s="1" t="s">
        <v>66</v>
      </c>
      <c r="L16" s="1" t="s">
        <v>31</v>
      </c>
      <c r="M16" s="1" t="s">
        <v>91</v>
      </c>
      <c r="N16" s="1">
        <v>0.37</v>
      </c>
      <c r="O16" s="1" t="s">
        <v>33</v>
      </c>
      <c r="P16" s="1" t="s">
        <v>53</v>
      </c>
      <c r="Q16" s="1" t="s">
        <v>71</v>
      </c>
      <c r="R16" s="1" t="s">
        <v>90</v>
      </c>
      <c r="S16" s="1">
        <v>10012</v>
      </c>
      <c r="T16" s="2">
        <v>42145</v>
      </c>
      <c r="U16" s="2">
        <v>42146</v>
      </c>
      <c r="V16" s="3">
        <f t="shared" si="0"/>
        <v>288.06</v>
      </c>
      <c r="W16" s="1">
        <v>58</v>
      </c>
      <c r="X16" s="1">
        <v>293.06</v>
      </c>
      <c r="Y16" s="1">
        <v>42949</v>
      </c>
    </row>
    <row r="17" spans="1:25" x14ac:dyDescent="0.3">
      <c r="A17" s="1">
        <v>6063</v>
      </c>
      <c r="B17" s="1" t="s">
        <v>37</v>
      </c>
      <c r="C17" s="1">
        <v>7.0000000000000007E-2</v>
      </c>
      <c r="D17" s="1">
        <v>12.99</v>
      </c>
      <c r="E17" s="1">
        <v>9.44</v>
      </c>
      <c r="F17" s="1">
        <v>21</v>
      </c>
      <c r="G17" s="1" t="s">
        <v>89</v>
      </c>
      <c r="H17" s="1" t="s">
        <v>49</v>
      </c>
      <c r="I17" s="1" t="s">
        <v>58</v>
      </c>
      <c r="J17" s="1" t="s">
        <v>77</v>
      </c>
      <c r="K17" s="1" t="s">
        <v>85</v>
      </c>
      <c r="L17" s="1" t="s">
        <v>86</v>
      </c>
      <c r="M17" s="1" t="s">
        <v>87</v>
      </c>
      <c r="N17" s="1">
        <v>0.39</v>
      </c>
      <c r="O17" s="1" t="s">
        <v>33</v>
      </c>
      <c r="P17" s="1" t="s">
        <v>53</v>
      </c>
      <c r="Q17" s="1" t="s">
        <v>71</v>
      </c>
      <c r="R17" s="1" t="s">
        <v>90</v>
      </c>
      <c r="S17" s="1">
        <v>10012</v>
      </c>
      <c r="T17" s="2">
        <v>42145</v>
      </c>
      <c r="U17" s="2">
        <v>42147</v>
      </c>
      <c r="V17" s="3">
        <f t="shared" si="0"/>
        <v>901.3</v>
      </c>
      <c r="W17" s="1">
        <v>71</v>
      </c>
      <c r="X17" s="1">
        <v>914.29</v>
      </c>
      <c r="Y17" s="1">
        <v>42949</v>
      </c>
    </row>
    <row r="18" spans="1:25" x14ac:dyDescent="0.3">
      <c r="A18" s="1">
        <v>20631</v>
      </c>
      <c r="B18" s="1" t="s">
        <v>25</v>
      </c>
      <c r="C18" s="1">
        <v>0.06</v>
      </c>
      <c r="D18" s="1">
        <v>55.48</v>
      </c>
      <c r="E18" s="1">
        <v>14.3</v>
      </c>
      <c r="F18" s="1">
        <v>24</v>
      </c>
      <c r="G18" s="1" t="s">
        <v>92</v>
      </c>
      <c r="H18" s="1" t="s">
        <v>49</v>
      </c>
      <c r="I18" s="1" t="s">
        <v>28</v>
      </c>
      <c r="J18" s="1" t="s">
        <v>29</v>
      </c>
      <c r="K18" s="1" t="s">
        <v>93</v>
      </c>
      <c r="L18" s="1" t="s">
        <v>59</v>
      </c>
      <c r="M18" s="1" t="s">
        <v>94</v>
      </c>
      <c r="N18" s="1">
        <v>0.37</v>
      </c>
      <c r="O18" s="1" t="s">
        <v>33</v>
      </c>
      <c r="P18" s="1" t="s">
        <v>34</v>
      </c>
      <c r="Q18" s="1" t="s">
        <v>45</v>
      </c>
      <c r="R18" s="1" t="s">
        <v>95</v>
      </c>
      <c r="S18" s="1">
        <v>92677</v>
      </c>
      <c r="T18" s="2">
        <v>42032</v>
      </c>
      <c r="U18" s="2">
        <v>42033</v>
      </c>
      <c r="V18" s="3">
        <f t="shared" si="0"/>
        <v>12.009999999999998</v>
      </c>
      <c r="W18" s="1">
        <v>1</v>
      </c>
      <c r="X18" s="1">
        <v>67.489999999999995</v>
      </c>
      <c r="Y18" s="1">
        <v>87651</v>
      </c>
    </row>
    <row r="19" spans="1:25" x14ac:dyDescent="0.3">
      <c r="A19" s="1">
        <v>20632</v>
      </c>
      <c r="B19" s="1" t="s">
        <v>25</v>
      </c>
      <c r="C19" s="1">
        <v>0.02</v>
      </c>
      <c r="D19" s="1">
        <v>1.68</v>
      </c>
      <c r="E19" s="1">
        <v>1.57</v>
      </c>
      <c r="F19" s="1">
        <v>24</v>
      </c>
      <c r="G19" s="1" t="s">
        <v>92</v>
      </c>
      <c r="H19" s="1" t="s">
        <v>49</v>
      </c>
      <c r="I19" s="1" t="s">
        <v>28</v>
      </c>
      <c r="J19" s="1" t="s">
        <v>29</v>
      </c>
      <c r="K19" s="1" t="s">
        <v>30</v>
      </c>
      <c r="L19" s="1" t="s">
        <v>31</v>
      </c>
      <c r="M19" s="1" t="s">
        <v>96</v>
      </c>
      <c r="N19" s="1">
        <v>0.59</v>
      </c>
      <c r="O19" s="1" t="s">
        <v>33</v>
      </c>
      <c r="P19" s="1" t="s">
        <v>34</v>
      </c>
      <c r="Q19" s="1" t="s">
        <v>45</v>
      </c>
      <c r="R19" s="1" t="s">
        <v>95</v>
      </c>
      <c r="S19" s="1">
        <v>92677</v>
      </c>
      <c r="T19" s="2">
        <v>42032</v>
      </c>
      <c r="U19" s="2">
        <v>42034</v>
      </c>
      <c r="V19" s="3">
        <f t="shared" si="0"/>
        <v>0.57000000000000006</v>
      </c>
      <c r="W19" s="1">
        <v>1</v>
      </c>
      <c r="X19" s="1">
        <v>2.25</v>
      </c>
      <c r="Y19" s="1">
        <v>87651</v>
      </c>
    </row>
    <row r="20" spans="1:25" x14ac:dyDescent="0.3">
      <c r="A20" s="1">
        <v>23967</v>
      </c>
      <c r="B20" s="1" t="s">
        <v>37</v>
      </c>
      <c r="C20" s="1">
        <v>0.04</v>
      </c>
      <c r="D20" s="1">
        <v>4.1399999999999997</v>
      </c>
      <c r="E20" s="1">
        <v>6.6</v>
      </c>
      <c r="F20" s="1">
        <v>27</v>
      </c>
      <c r="G20" s="1" t="s">
        <v>97</v>
      </c>
      <c r="H20" s="1" t="s">
        <v>49</v>
      </c>
      <c r="I20" s="1" t="s">
        <v>28</v>
      </c>
      <c r="J20" s="1" t="s">
        <v>41</v>
      </c>
      <c r="K20" s="1" t="s">
        <v>50</v>
      </c>
      <c r="L20" s="1" t="s">
        <v>59</v>
      </c>
      <c r="M20" s="1" t="s">
        <v>98</v>
      </c>
      <c r="N20" s="1">
        <v>0.49</v>
      </c>
      <c r="O20" s="1" t="s">
        <v>33</v>
      </c>
      <c r="P20" s="1" t="s">
        <v>34</v>
      </c>
      <c r="Q20" s="1" t="s">
        <v>45</v>
      </c>
      <c r="R20" s="1" t="s">
        <v>99</v>
      </c>
      <c r="S20" s="1">
        <v>90712</v>
      </c>
      <c r="T20" s="2">
        <v>42126</v>
      </c>
      <c r="U20" s="2">
        <v>42128</v>
      </c>
      <c r="V20" s="3">
        <f t="shared" si="0"/>
        <v>50.64</v>
      </c>
      <c r="W20" s="1">
        <v>12</v>
      </c>
      <c r="X20" s="1">
        <v>54.78</v>
      </c>
      <c r="Y20" s="1">
        <v>87652</v>
      </c>
    </row>
    <row r="21" spans="1:25" x14ac:dyDescent="0.3">
      <c r="A21" s="1">
        <v>23509</v>
      </c>
      <c r="B21" s="1" t="s">
        <v>25</v>
      </c>
      <c r="C21" s="1">
        <v>0.08</v>
      </c>
      <c r="D21" s="1">
        <v>34.99</v>
      </c>
      <c r="E21" s="1">
        <v>7.73</v>
      </c>
      <c r="F21" s="1">
        <v>32</v>
      </c>
      <c r="G21" s="1" t="s">
        <v>100</v>
      </c>
      <c r="H21" s="1" t="s">
        <v>49</v>
      </c>
      <c r="I21" s="1" t="s">
        <v>28</v>
      </c>
      <c r="J21" s="1" t="s">
        <v>29</v>
      </c>
      <c r="K21" s="1" t="s">
        <v>30</v>
      </c>
      <c r="L21" s="1" t="s">
        <v>59</v>
      </c>
      <c r="M21" s="1" t="s">
        <v>101</v>
      </c>
      <c r="N21" s="1">
        <v>0.59</v>
      </c>
      <c r="O21" s="1" t="s">
        <v>33</v>
      </c>
      <c r="P21" s="1" t="s">
        <v>34</v>
      </c>
      <c r="Q21" s="1" t="s">
        <v>102</v>
      </c>
      <c r="R21" s="1" t="s">
        <v>103</v>
      </c>
      <c r="S21" s="1">
        <v>97526</v>
      </c>
      <c r="T21" s="2">
        <v>42057</v>
      </c>
      <c r="U21" s="2">
        <v>42058</v>
      </c>
      <c r="V21" s="3">
        <f t="shared" si="0"/>
        <v>389.69</v>
      </c>
      <c r="W21" s="1">
        <v>13</v>
      </c>
      <c r="X21" s="1">
        <v>424.68</v>
      </c>
      <c r="Y21" s="1">
        <v>89199</v>
      </c>
    </row>
    <row r="22" spans="1:25" x14ac:dyDescent="0.3">
      <c r="A22" s="1">
        <v>23612</v>
      </c>
      <c r="B22" s="1" t="s">
        <v>25</v>
      </c>
      <c r="C22" s="1">
        <v>0.01</v>
      </c>
      <c r="D22" s="1">
        <v>17.98</v>
      </c>
      <c r="E22" s="1">
        <v>8.51</v>
      </c>
      <c r="F22" s="1">
        <v>32</v>
      </c>
      <c r="G22" s="1" t="s">
        <v>100</v>
      </c>
      <c r="H22" s="1" t="s">
        <v>49</v>
      </c>
      <c r="I22" s="1" t="s">
        <v>28</v>
      </c>
      <c r="J22" s="1" t="s">
        <v>77</v>
      </c>
      <c r="K22" s="1" t="s">
        <v>85</v>
      </c>
      <c r="L22" s="1" t="s">
        <v>86</v>
      </c>
      <c r="M22" s="1" t="s">
        <v>104</v>
      </c>
      <c r="N22" s="1">
        <v>0.4</v>
      </c>
      <c r="O22" s="1" t="s">
        <v>33</v>
      </c>
      <c r="P22" s="1" t="s">
        <v>34</v>
      </c>
      <c r="Q22" s="1" t="s">
        <v>102</v>
      </c>
      <c r="R22" s="1" t="s">
        <v>103</v>
      </c>
      <c r="S22" s="1">
        <v>97526</v>
      </c>
      <c r="T22" s="2">
        <v>42090</v>
      </c>
      <c r="U22" s="2">
        <v>42091</v>
      </c>
      <c r="V22" s="3">
        <f t="shared" si="0"/>
        <v>22.19</v>
      </c>
      <c r="W22" s="1">
        <v>2</v>
      </c>
      <c r="X22" s="1">
        <v>40.17</v>
      </c>
      <c r="Y22" s="1">
        <v>89200</v>
      </c>
    </row>
    <row r="23" spans="1:25" x14ac:dyDescent="0.3">
      <c r="A23" s="1">
        <v>23278</v>
      </c>
      <c r="B23" s="1" t="s">
        <v>56</v>
      </c>
      <c r="C23" s="1">
        <v>0.09</v>
      </c>
      <c r="D23" s="1">
        <v>125.99</v>
      </c>
      <c r="E23" s="1">
        <v>7.69</v>
      </c>
      <c r="F23" s="1">
        <v>32</v>
      </c>
      <c r="G23" s="1" t="s">
        <v>100</v>
      </c>
      <c r="H23" s="1" t="s">
        <v>27</v>
      </c>
      <c r="I23" s="1" t="s">
        <v>28</v>
      </c>
      <c r="J23" s="1" t="s">
        <v>77</v>
      </c>
      <c r="K23" s="1" t="s">
        <v>78</v>
      </c>
      <c r="L23" s="1" t="s">
        <v>59</v>
      </c>
      <c r="M23" s="1" t="s">
        <v>105</v>
      </c>
      <c r="N23" s="1">
        <v>0.59</v>
      </c>
      <c r="O23" s="1" t="s">
        <v>33</v>
      </c>
      <c r="P23" s="1" t="s">
        <v>34</v>
      </c>
      <c r="Q23" s="1" t="s">
        <v>102</v>
      </c>
      <c r="R23" s="1" t="s">
        <v>103</v>
      </c>
      <c r="S23" s="1">
        <v>97526</v>
      </c>
      <c r="T23" s="2">
        <v>42024</v>
      </c>
      <c r="U23" s="2">
        <v>42026</v>
      </c>
      <c r="V23" s="3">
        <f t="shared" si="0"/>
        <v>657.56</v>
      </c>
      <c r="W23" s="1">
        <v>8</v>
      </c>
      <c r="X23" s="1">
        <v>783.55</v>
      </c>
      <c r="Y23" s="1">
        <v>89202</v>
      </c>
    </row>
    <row r="24" spans="1:25" x14ac:dyDescent="0.3">
      <c r="A24" s="1">
        <v>19355</v>
      </c>
      <c r="B24" s="1" t="s">
        <v>106</v>
      </c>
      <c r="C24" s="1">
        <v>0.06</v>
      </c>
      <c r="D24" s="1">
        <v>205.99</v>
      </c>
      <c r="E24" s="1">
        <v>8.99</v>
      </c>
      <c r="F24" s="1">
        <v>32</v>
      </c>
      <c r="G24" s="1" t="s">
        <v>100</v>
      </c>
      <c r="H24" s="1" t="s">
        <v>49</v>
      </c>
      <c r="I24" s="1" t="s">
        <v>28</v>
      </c>
      <c r="J24" s="1" t="s">
        <v>77</v>
      </c>
      <c r="K24" s="1" t="s">
        <v>78</v>
      </c>
      <c r="L24" s="1" t="s">
        <v>59</v>
      </c>
      <c r="M24" s="1" t="s">
        <v>107</v>
      </c>
      <c r="N24" s="1">
        <v>0.56000000000000005</v>
      </c>
      <c r="O24" s="1" t="s">
        <v>33</v>
      </c>
      <c r="P24" s="1" t="s">
        <v>34</v>
      </c>
      <c r="Q24" s="1" t="s">
        <v>102</v>
      </c>
      <c r="R24" s="1" t="s">
        <v>103</v>
      </c>
      <c r="S24" s="1">
        <v>97526</v>
      </c>
      <c r="T24" s="2">
        <v>42075</v>
      </c>
      <c r="U24" s="2">
        <v>42082</v>
      </c>
      <c r="V24" s="3">
        <f t="shared" si="0"/>
        <v>3632.1499999999996</v>
      </c>
      <c r="W24" s="1">
        <v>22</v>
      </c>
      <c r="X24" s="1">
        <v>3838.14</v>
      </c>
      <c r="Y24" s="1">
        <v>89203</v>
      </c>
    </row>
    <row r="25" spans="1:25" x14ac:dyDescent="0.3">
      <c r="A25" s="1">
        <v>23654</v>
      </c>
      <c r="B25" s="1" t="s">
        <v>37</v>
      </c>
      <c r="C25" s="1">
        <v>0.03</v>
      </c>
      <c r="D25" s="1">
        <v>4.24</v>
      </c>
      <c r="E25" s="1">
        <v>5.41</v>
      </c>
      <c r="F25" s="1">
        <v>33</v>
      </c>
      <c r="G25" s="1" t="s">
        <v>108</v>
      </c>
      <c r="H25" s="1" t="s">
        <v>49</v>
      </c>
      <c r="I25" s="1" t="s">
        <v>28</v>
      </c>
      <c r="J25" s="1" t="s">
        <v>29</v>
      </c>
      <c r="K25" s="1" t="s">
        <v>109</v>
      </c>
      <c r="L25" s="1" t="s">
        <v>59</v>
      </c>
      <c r="M25" s="1" t="s">
        <v>110</v>
      </c>
      <c r="N25" s="1">
        <v>0.35</v>
      </c>
      <c r="O25" s="1" t="s">
        <v>33</v>
      </c>
      <c r="P25" s="1" t="s">
        <v>34</v>
      </c>
      <c r="Q25" s="1" t="s">
        <v>102</v>
      </c>
      <c r="R25" s="1" t="s">
        <v>111</v>
      </c>
      <c r="S25" s="1">
        <v>97030</v>
      </c>
      <c r="T25" s="2">
        <v>42170</v>
      </c>
      <c r="U25" s="2">
        <v>42172</v>
      </c>
      <c r="V25" s="3">
        <f t="shared" si="0"/>
        <v>54.44</v>
      </c>
      <c r="W25" s="1">
        <v>13</v>
      </c>
      <c r="X25" s="1">
        <v>58.68</v>
      </c>
      <c r="Y25" s="1">
        <v>89201</v>
      </c>
    </row>
    <row r="26" spans="1:25" x14ac:dyDescent="0.3">
      <c r="A26" s="1">
        <v>23655</v>
      </c>
      <c r="B26" s="1" t="s">
        <v>37</v>
      </c>
      <c r="C26" s="1">
        <v>0.04</v>
      </c>
      <c r="D26" s="1">
        <v>2.94</v>
      </c>
      <c r="E26" s="1">
        <v>0.7</v>
      </c>
      <c r="F26" s="1">
        <v>33</v>
      </c>
      <c r="G26" s="1" t="s">
        <v>108</v>
      </c>
      <c r="H26" s="1" t="s">
        <v>49</v>
      </c>
      <c r="I26" s="1" t="s">
        <v>28</v>
      </c>
      <c r="J26" s="1" t="s">
        <v>29</v>
      </c>
      <c r="K26" s="1" t="s">
        <v>30</v>
      </c>
      <c r="L26" s="1" t="s">
        <v>31</v>
      </c>
      <c r="M26" s="1" t="s">
        <v>112</v>
      </c>
      <c r="N26" s="1">
        <v>0.57999999999999996</v>
      </c>
      <c r="O26" s="1" t="s">
        <v>33</v>
      </c>
      <c r="P26" s="1" t="s">
        <v>34</v>
      </c>
      <c r="Q26" s="1" t="s">
        <v>102</v>
      </c>
      <c r="R26" s="1" t="s">
        <v>111</v>
      </c>
      <c r="S26" s="1">
        <v>97030</v>
      </c>
      <c r="T26" s="2">
        <v>42170</v>
      </c>
      <c r="U26" s="2">
        <v>42171</v>
      </c>
      <c r="V26" s="3">
        <f t="shared" si="0"/>
        <v>50.160000000000004</v>
      </c>
      <c r="W26" s="1">
        <v>18</v>
      </c>
      <c r="X26" s="1">
        <v>53.1</v>
      </c>
      <c r="Y26" s="1">
        <v>89201</v>
      </c>
    </row>
    <row r="27" spans="1:25" x14ac:dyDescent="0.3">
      <c r="A27" s="1">
        <v>25933</v>
      </c>
      <c r="B27" s="1" t="s">
        <v>25</v>
      </c>
      <c r="C27" s="1">
        <v>0</v>
      </c>
      <c r="D27" s="1">
        <v>99.99</v>
      </c>
      <c r="E27" s="1">
        <v>19.989999999999998</v>
      </c>
      <c r="F27" s="1">
        <v>43</v>
      </c>
      <c r="G27" s="1" t="s">
        <v>113</v>
      </c>
      <c r="H27" s="1" t="s">
        <v>49</v>
      </c>
      <c r="I27" s="1" t="s">
        <v>114</v>
      </c>
      <c r="J27" s="1" t="s">
        <v>77</v>
      </c>
      <c r="K27" s="1" t="s">
        <v>85</v>
      </c>
      <c r="L27" s="1" t="s">
        <v>59</v>
      </c>
      <c r="M27" s="1" t="s">
        <v>115</v>
      </c>
      <c r="N27" s="1">
        <v>0.52</v>
      </c>
      <c r="O27" s="1" t="s">
        <v>33</v>
      </c>
      <c r="P27" s="1" t="s">
        <v>34</v>
      </c>
      <c r="Q27" s="1" t="s">
        <v>35</v>
      </c>
      <c r="R27" s="1" t="s">
        <v>116</v>
      </c>
      <c r="S27" s="1">
        <v>98052</v>
      </c>
      <c r="T27" s="2">
        <v>42134</v>
      </c>
      <c r="U27" s="2">
        <v>42135</v>
      </c>
      <c r="V27" s="3">
        <f t="shared" si="0"/>
        <v>547.08000000000004</v>
      </c>
      <c r="W27" s="1">
        <v>6</v>
      </c>
      <c r="X27" s="1">
        <v>647.07000000000005</v>
      </c>
      <c r="Y27" s="1">
        <v>91454</v>
      </c>
    </row>
    <row r="28" spans="1:25" x14ac:dyDescent="0.3">
      <c r="A28" s="1">
        <v>18551</v>
      </c>
      <c r="B28" s="1" t="s">
        <v>37</v>
      </c>
      <c r="C28" s="1">
        <v>0</v>
      </c>
      <c r="D28" s="1">
        <v>115.99</v>
      </c>
      <c r="E28" s="1">
        <v>2.5</v>
      </c>
      <c r="F28" s="1">
        <v>52</v>
      </c>
      <c r="G28" s="1" t="s">
        <v>117</v>
      </c>
      <c r="H28" s="1" t="s">
        <v>49</v>
      </c>
      <c r="I28" s="1" t="s">
        <v>28</v>
      </c>
      <c r="J28" s="1" t="s">
        <v>77</v>
      </c>
      <c r="K28" s="1" t="s">
        <v>78</v>
      </c>
      <c r="L28" s="1" t="s">
        <v>59</v>
      </c>
      <c r="M28" s="1" t="s">
        <v>118</v>
      </c>
      <c r="N28" s="1">
        <v>0.56999999999999995</v>
      </c>
      <c r="O28" s="1" t="s">
        <v>33</v>
      </c>
      <c r="P28" s="1" t="s">
        <v>34</v>
      </c>
      <c r="Q28" s="1" t="s">
        <v>35</v>
      </c>
      <c r="R28" s="1" t="s">
        <v>119</v>
      </c>
      <c r="S28" s="1">
        <v>98373</v>
      </c>
      <c r="T28" s="2">
        <v>42073</v>
      </c>
      <c r="U28" s="2">
        <v>42073</v>
      </c>
      <c r="V28" s="3">
        <f t="shared" si="0"/>
        <v>511.04999999999995</v>
      </c>
      <c r="W28" s="1">
        <v>6</v>
      </c>
      <c r="X28" s="1">
        <v>627.04</v>
      </c>
      <c r="Y28" s="1">
        <v>88426</v>
      </c>
    </row>
    <row r="29" spans="1:25" x14ac:dyDescent="0.3">
      <c r="A29" s="1">
        <v>22117</v>
      </c>
      <c r="B29" s="1" t="s">
        <v>47</v>
      </c>
      <c r="C29" s="1">
        <v>7.0000000000000007E-2</v>
      </c>
      <c r="D29" s="1">
        <v>3502.14</v>
      </c>
      <c r="E29" s="1">
        <v>8.73</v>
      </c>
      <c r="F29" s="1">
        <v>53</v>
      </c>
      <c r="G29" s="1" t="s">
        <v>120</v>
      </c>
      <c r="H29" s="1" t="s">
        <v>39</v>
      </c>
      <c r="I29" s="1" t="s">
        <v>28</v>
      </c>
      <c r="J29" s="1" t="s">
        <v>77</v>
      </c>
      <c r="K29" s="1" t="s">
        <v>85</v>
      </c>
      <c r="L29" s="1" t="s">
        <v>121</v>
      </c>
      <c r="M29" s="1" t="s">
        <v>122</v>
      </c>
      <c r="N29" s="1">
        <v>0.56999999999999995</v>
      </c>
      <c r="O29" s="1" t="s">
        <v>33</v>
      </c>
      <c r="P29" s="1" t="s">
        <v>34</v>
      </c>
      <c r="Q29" s="1" t="s">
        <v>35</v>
      </c>
      <c r="R29" s="1" t="s">
        <v>116</v>
      </c>
      <c r="S29" s="1">
        <v>98052</v>
      </c>
      <c r="T29" s="2">
        <v>42032</v>
      </c>
      <c r="U29" s="2">
        <v>42034</v>
      </c>
      <c r="V29" s="3">
        <f t="shared" si="0"/>
        <v>-234.58999999999969</v>
      </c>
      <c r="W29" s="1">
        <v>1</v>
      </c>
      <c r="X29" s="1">
        <v>3267.55</v>
      </c>
      <c r="Y29" s="1">
        <v>88425</v>
      </c>
    </row>
    <row r="30" spans="1:25" x14ac:dyDescent="0.3">
      <c r="A30" s="1">
        <v>18552</v>
      </c>
      <c r="B30" s="1" t="s">
        <v>37</v>
      </c>
      <c r="C30" s="1">
        <v>0.02</v>
      </c>
      <c r="D30" s="1">
        <v>5.98</v>
      </c>
      <c r="E30" s="1">
        <v>5.79</v>
      </c>
      <c r="F30" s="1">
        <v>53</v>
      </c>
      <c r="G30" s="1" t="s">
        <v>120</v>
      </c>
      <c r="H30" s="1" t="s">
        <v>49</v>
      </c>
      <c r="I30" s="1" t="s">
        <v>28</v>
      </c>
      <c r="J30" s="1" t="s">
        <v>29</v>
      </c>
      <c r="K30" s="1" t="s">
        <v>93</v>
      </c>
      <c r="L30" s="1" t="s">
        <v>59</v>
      </c>
      <c r="M30" s="1" t="s">
        <v>123</v>
      </c>
      <c r="N30" s="1">
        <v>0.36</v>
      </c>
      <c r="O30" s="1" t="s">
        <v>33</v>
      </c>
      <c r="P30" s="1" t="s">
        <v>34</v>
      </c>
      <c r="Q30" s="1" t="s">
        <v>35</v>
      </c>
      <c r="R30" s="1" t="s">
        <v>116</v>
      </c>
      <c r="S30" s="1">
        <v>98052</v>
      </c>
      <c r="T30" s="2">
        <v>42073</v>
      </c>
      <c r="U30" s="2">
        <v>42074</v>
      </c>
      <c r="V30" s="3">
        <f t="shared" si="0"/>
        <v>104.21</v>
      </c>
      <c r="W30" s="1">
        <v>17</v>
      </c>
      <c r="X30" s="1">
        <v>110.19</v>
      </c>
      <c r="Y30" s="1">
        <v>88426</v>
      </c>
    </row>
    <row r="31" spans="1:25" x14ac:dyDescent="0.3">
      <c r="A31" s="1">
        <v>20697</v>
      </c>
      <c r="B31" s="1" t="s">
        <v>56</v>
      </c>
      <c r="C31" s="1">
        <v>0.06</v>
      </c>
      <c r="D31" s="1">
        <v>3.8</v>
      </c>
      <c r="E31" s="1">
        <v>1.49</v>
      </c>
      <c r="F31" s="1">
        <v>56</v>
      </c>
      <c r="G31" s="1" t="s">
        <v>124</v>
      </c>
      <c r="H31" s="1" t="s">
        <v>49</v>
      </c>
      <c r="I31" s="1" t="s">
        <v>114</v>
      </c>
      <c r="J31" s="1" t="s">
        <v>29</v>
      </c>
      <c r="K31" s="1" t="s">
        <v>109</v>
      </c>
      <c r="L31" s="1" t="s">
        <v>59</v>
      </c>
      <c r="M31" s="1" t="s">
        <v>125</v>
      </c>
      <c r="N31" s="1">
        <v>0.38</v>
      </c>
      <c r="O31" s="1" t="s">
        <v>33</v>
      </c>
      <c r="P31" s="1" t="s">
        <v>53</v>
      </c>
      <c r="Q31" s="1" t="s">
        <v>71</v>
      </c>
      <c r="R31" s="1" t="s">
        <v>126</v>
      </c>
      <c r="S31" s="1">
        <v>14150</v>
      </c>
      <c r="T31" s="2">
        <v>42114</v>
      </c>
      <c r="U31" s="2">
        <v>42115</v>
      </c>
      <c r="V31" s="3">
        <f t="shared" si="0"/>
        <v>69.75</v>
      </c>
      <c r="W31" s="1">
        <v>20</v>
      </c>
      <c r="X31" s="1">
        <v>73.55</v>
      </c>
      <c r="Y31" s="1">
        <v>88075</v>
      </c>
    </row>
    <row r="32" spans="1:25" x14ac:dyDescent="0.3">
      <c r="A32" s="1">
        <v>20698</v>
      </c>
      <c r="B32" s="1" t="s">
        <v>56</v>
      </c>
      <c r="C32" s="1">
        <v>0.06</v>
      </c>
      <c r="D32" s="1">
        <v>1.76</v>
      </c>
      <c r="E32" s="1">
        <v>0.7</v>
      </c>
      <c r="F32" s="1">
        <v>56</v>
      </c>
      <c r="G32" s="1" t="s">
        <v>124</v>
      </c>
      <c r="H32" s="1" t="s">
        <v>49</v>
      </c>
      <c r="I32" s="1" t="s">
        <v>114</v>
      </c>
      <c r="J32" s="1" t="s">
        <v>29</v>
      </c>
      <c r="K32" s="1" t="s">
        <v>30</v>
      </c>
      <c r="L32" s="1" t="s">
        <v>31</v>
      </c>
      <c r="M32" s="1" t="s">
        <v>127</v>
      </c>
      <c r="N32" s="1">
        <v>0.56000000000000005</v>
      </c>
      <c r="O32" s="1" t="s">
        <v>33</v>
      </c>
      <c r="P32" s="1" t="s">
        <v>53</v>
      </c>
      <c r="Q32" s="1" t="s">
        <v>71</v>
      </c>
      <c r="R32" s="1" t="s">
        <v>126</v>
      </c>
      <c r="S32" s="1">
        <v>14150</v>
      </c>
      <c r="T32" s="2">
        <v>42114</v>
      </c>
      <c r="U32" s="2">
        <v>42115</v>
      </c>
      <c r="V32" s="3">
        <f t="shared" si="0"/>
        <v>27.81</v>
      </c>
      <c r="W32" s="1">
        <v>17</v>
      </c>
      <c r="X32" s="1">
        <v>29.57</v>
      </c>
      <c r="Y32" s="1">
        <v>88075</v>
      </c>
    </row>
    <row r="33" spans="1:25" x14ac:dyDescent="0.3">
      <c r="A33" s="1">
        <v>22890</v>
      </c>
      <c r="B33" s="1" t="s">
        <v>25</v>
      </c>
      <c r="C33" s="1">
        <v>0.02</v>
      </c>
      <c r="D33" s="1">
        <v>5.98</v>
      </c>
      <c r="E33" s="1">
        <v>5.15</v>
      </c>
      <c r="F33" s="1">
        <v>62</v>
      </c>
      <c r="G33" s="1" t="s">
        <v>128</v>
      </c>
      <c r="H33" s="1" t="s">
        <v>49</v>
      </c>
      <c r="I33" s="1" t="s">
        <v>28</v>
      </c>
      <c r="J33" s="1" t="s">
        <v>29</v>
      </c>
      <c r="K33" s="1" t="s">
        <v>93</v>
      </c>
      <c r="L33" s="1" t="s">
        <v>59</v>
      </c>
      <c r="M33" s="1" t="s">
        <v>129</v>
      </c>
      <c r="N33" s="1">
        <v>0.36</v>
      </c>
      <c r="O33" s="1" t="s">
        <v>33</v>
      </c>
      <c r="P33" s="1" t="s">
        <v>61</v>
      </c>
      <c r="Q33" s="1" t="s">
        <v>130</v>
      </c>
      <c r="R33" s="1" t="s">
        <v>131</v>
      </c>
      <c r="S33" s="1">
        <v>78664</v>
      </c>
      <c r="T33" s="2">
        <v>42133</v>
      </c>
      <c r="U33" s="2">
        <v>42135</v>
      </c>
      <c r="V33" s="3">
        <f t="shared" si="0"/>
        <v>16.87</v>
      </c>
      <c r="W33" s="1">
        <v>3</v>
      </c>
      <c r="X33" s="1">
        <v>22.85</v>
      </c>
      <c r="Y33" s="1">
        <v>87407</v>
      </c>
    </row>
    <row r="34" spans="1:25" x14ac:dyDescent="0.3">
      <c r="A34" s="1">
        <v>25354</v>
      </c>
      <c r="B34" s="1" t="s">
        <v>25</v>
      </c>
      <c r="C34" s="1">
        <v>0.04</v>
      </c>
      <c r="D34" s="1">
        <v>29.14</v>
      </c>
      <c r="E34" s="1">
        <v>4.8600000000000003</v>
      </c>
      <c r="F34" s="1">
        <v>62</v>
      </c>
      <c r="G34" s="1" t="s">
        <v>128</v>
      </c>
      <c r="H34" s="1" t="s">
        <v>49</v>
      </c>
      <c r="I34" s="1" t="s">
        <v>28</v>
      </c>
      <c r="J34" s="1" t="s">
        <v>29</v>
      </c>
      <c r="K34" s="1" t="s">
        <v>93</v>
      </c>
      <c r="L34" s="1" t="s">
        <v>31</v>
      </c>
      <c r="M34" s="1" t="s">
        <v>132</v>
      </c>
      <c r="N34" s="1">
        <v>0.38</v>
      </c>
      <c r="O34" s="1" t="s">
        <v>33</v>
      </c>
      <c r="P34" s="1" t="s">
        <v>61</v>
      </c>
      <c r="Q34" s="1" t="s">
        <v>130</v>
      </c>
      <c r="R34" s="1" t="s">
        <v>131</v>
      </c>
      <c r="S34" s="1">
        <v>78664</v>
      </c>
      <c r="T34" s="2">
        <v>42167</v>
      </c>
      <c r="U34" s="2">
        <v>42169</v>
      </c>
      <c r="V34" s="3">
        <f t="shared" si="0"/>
        <v>477.25</v>
      </c>
      <c r="W34" s="1">
        <v>17</v>
      </c>
      <c r="X34" s="1">
        <v>506.39</v>
      </c>
      <c r="Y34" s="1">
        <v>87408</v>
      </c>
    </row>
    <row r="35" spans="1:25" x14ac:dyDescent="0.3">
      <c r="A35" s="1">
        <v>21017</v>
      </c>
      <c r="B35" s="1" t="s">
        <v>37</v>
      </c>
      <c r="C35" s="1">
        <v>0</v>
      </c>
      <c r="D35" s="1">
        <v>3.69</v>
      </c>
      <c r="E35" s="1">
        <v>0.5</v>
      </c>
      <c r="F35" s="1">
        <v>64</v>
      </c>
      <c r="G35" s="1" t="s">
        <v>133</v>
      </c>
      <c r="H35" s="1" t="s">
        <v>49</v>
      </c>
      <c r="I35" s="1" t="s">
        <v>58</v>
      </c>
      <c r="J35" s="1" t="s">
        <v>29</v>
      </c>
      <c r="K35" s="1" t="s">
        <v>134</v>
      </c>
      <c r="L35" s="1" t="s">
        <v>59</v>
      </c>
      <c r="M35" s="1" t="s">
        <v>135</v>
      </c>
      <c r="N35" s="1">
        <v>0.38</v>
      </c>
      <c r="O35" s="1" t="s">
        <v>33</v>
      </c>
      <c r="P35" s="1" t="s">
        <v>136</v>
      </c>
      <c r="Q35" s="1" t="s">
        <v>137</v>
      </c>
      <c r="R35" s="1" t="s">
        <v>138</v>
      </c>
      <c r="S35" s="1">
        <v>24153</v>
      </c>
      <c r="T35" s="2">
        <v>42065</v>
      </c>
      <c r="U35" s="2">
        <v>42067</v>
      </c>
      <c r="V35" s="3">
        <f t="shared" si="0"/>
        <v>0.31000000000000005</v>
      </c>
      <c r="W35" s="1">
        <v>1</v>
      </c>
      <c r="X35" s="1">
        <v>4</v>
      </c>
      <c r="Y35" s="1">
        <v>87406</v>
      </c>
    </row>
    <row r="36" spans="1:25" x14ac:dyDescent="0.3">
      <c r="A36" s="1">
        <v>21019</v>
      </c>
      <c r="B36" s="1" t="s">
        <v>37</v>
      </c>
      <c r="C36" s="1">
        <v>0.02</v>
      </c>
      <c r="D36" s="1">
        <v>175.99</v>
      </c>
      <c r="E36" s="1">
        <v>4.99</v>
      </c>
      <c r="F36" s="1">
        <v>64</v>
      </c>
      <c r="G36" s="1" t="s">
        <v>133</v>
      </c>
      <c r="H36" s="1" t="s">
        <v>27</v>
      </c>
      <c r="I36" s="1" t="s">
        <v>58</v>
      </c>
      <c r="J36" s="1" t="s">
        <v>77</v>
      </c>
      <c r="K36" s="1" t="s">
        <v>78</v>
      </c>
      <c r="L36" s="1" t="s">
        <v>59</v>
      </c>
      <c r="M36" s="1" t="s">
        <v>139</v>
      </c>
      <c r="N36" s="1">
        <v>0.59</v>
      </c>
      <c r="O36" s="1" t="s">
        <v>33</v>
      </c>
      <c r="P36" s="1" t="s">
        <v>136</v>
      </c>
      <c r="Q36" s="1" t="s">
        <v>137</v>
      </c>
      <c r="R36" s="1" t="s">
        <v>138</v>
      </c>
      <c r="S36" s="1">
        <v>24153</v>
      </c>
      <c r="T36" s="2">
        <v>42065</v>
      </c>
      <c r="U36" s="2">
        <v>42065</v>
      </c>
      <c r="V36" s="3">
        <f t="shared" si="0"/>
        <v>413.80999999999995</v>
      </c>
      <c r="W36" s="1">
        <v>4</v>
      </c>
      <c r="X36" s="1">
        <v>589.79999999999995</v>
      </c>
      <c r="Y36" s="1">
        <v>87406</v>
      </c>
    </row>
    <row r="37" spans="1:25" x14ac:dyDescent="0.3">
      <c r="A37" s="1">
        <v>23274</v>
      </c>
      <c r="B37" s="1" t="s">
        <v>106</v>
      </c>
      <c r="C37" s="1">
        <v>0.05</v>
      </c>
      <c r="D37" s="1">
        <v>155.06</v>
      </c>
      <c r="E37" s="1">
        <v>7.07</v>
      </c>
      <c r="F37" s="1">
        <v>67</v>
      </c>
      <c r="G37" s="1" t="s">
        <v>140</v>
      </c>
      <c r="H37" s="1" t="s">
        <v>49</v>
      </c>
      <c r="I37" s="1" t="s">
        <v>28</v>
      </c>
      <c r="J37" s="1" t="s">
        <v>29</v>
      </c>
      <c r="K37" s="1" t="s">
        <v>141</v>
      </c>
      <c r="L37" s="1" t="s">
        <v>59</v>
      </c>
      <c r="M37" s="1" t="s">
        <v>142</v>
      </c>
      <c r="N37" s="1">
        <v>0.59</v>
      </c>
      <c r="O37" s="1" t="s">
        <v>33</v>
      </c>
      <c r="P37" s="1" t="s">
        <v>34</v>
      </c>
      <c r="Q37" s="1" t="s">
        <v>45</v>
      </c>
      <c r="R37" s="1" t="s">
        <v>143</v>
      </c>
      <c r="S37" s="1">
        <v>94559</v>
      </c>
      <c r="T37" s="2">
        <v>42006</v>
      </c>
      <c r="U37" s="2">
        <v>42013</v>
      </c>
      <c r="V37" s="3">
        <f t="shared" si="0"/>
        <v>1070.54</v>
      </c>
      <c r="W37" s="1">
        <v>8</v>
      </c>
      <c r="X37" s="1">
        <v>1225.5999999999999</v>
      </c>
      <c r="Y37" s="1">
        <v>87946</v>
      </c>
    </row>
    <row r="38" spans="1:25" x14ac:dyDescent="0.3">
      <c r="A38" s="1">
        <v>5272</v>
      </c>
      <c r="B38" s="1" t="s">
        <v>106</v>
      </c>
      <c r="C38" s="1">
        <v>0</v>
      </c>
      <c r="D38" s="1">
        <v>291.73</v>
      </c>
      <c r="E38" s="1">
        <v>48.8</v>
      </c>
      <c r="F38" s="1">
        <v>68</v>
      </c>
      <c r="G38" s="1" t="s">
        <v>144</v>
      </c>
      <c r="H38" s="1" t="s">
        <v>39</v>
      </c>
      <c r="I38" s="1" t="s">
        <v>28</v>
      </c>
      <c r="J38" s="1" t="s">
        <v>41</v>
      </c>
      <c r="K38" s="1" t="s">
        <v>42</v>
      </c>
      <c r="L38" s="1" t="s">
        <v>43</v>
      </c>
      <c r="M38" s="1" t="s">
        <v>145</v>
      </c>
      <c r="N38" s="1">
        <v>0.56000000000000005</v>
      </c>
      <c r="O38" s="1" t="s">
        <v>33</v>
      </c>
      <c r="P38" s="1" t="s">
        <v>53</v>
      </c>
      <c r="Q38" s="1" t="s">
        <v>71</v>
      </c>
      <c r="R38" s="1" t="s">
        <v>90</v>
      </c>
      <c r="S38" s="1">
        <v>10177</v>
      </c>
      <c r="T38" s="2">
        <v>42006</v>
      </c>
      <c r="U38" s="2">
        <v>42006</v>
      </c>
      <c r="V38" s="3">
        <f t="shared" si="0"/>
        <v>947.32999999999993</v>
      </c>
      <c r="W38" s="1">
        <v>4</v>
      </c>
      <c r="X38" s="1">
        <v>1239.06</v>
      </c>
      <c r="Y38" s="1">
        <v>37537</v>
      </c>
    </row>
    <row r="39" spans="1:25" x14ac:dyDescent="0.3">
      <c r="A39" s="1">
        <v>5273</v>
      </c>
      <c r="B39" s="1" t="s">
        <v>106</v>
      </c>
      <c r="C39" s="1">
        <v>7.0000000000000007E-2</v>
      </c>
      <c r="D39" s="1">
        <v>100.98</v>
      </c>
      <c r="E39" s="1">
        <v>45</v>
      </c>
      <c r="F39" s="1">
        <v>68</v>
      </c>
      <c r="G39" s="1" t="s">
        <v>144</v>
      </c>
      <c r="H39" s="1" t="s">
        <v>39</v>
      </c>
      <c r="I39" s="1" t="s">
        <v>28</v>
      </c>
      <c r="J39" s="1" t="s">
        <v>41</v>
      </c>
      <c r="K39" s="1" t="s">
        <v>42</v>
      </c>
      <c r="L39" s="1" t="s">
        <v>43</v>
      </c>
      <c r="M39" s="1" t="s">
        <v>146</v>
      </c>
      <c r="N39" s="1">
        <v>0.69</v>
      </c>
      <c r="O39" s="1" t="s">
        <v>33</v>
      </c>
      <c r="P39" s="1" t="s">
        <v>53</v>
      </c>
      <c r="Q39" s="1" t="s">
        <v>71</v>
      </c>
      <c r="R39" s="1" t="s">
        <v>90</v>
      </c>
      <c r="S39" s="1">
        <v>10177</v>
      </c>
      <c r="T39" s="2">
        <v>42006</v>
      </c>
      <c r="U39" s="2">
        <v>42008</v>
      </c>
      <c r="V39" s="3">
        <f t="shared" si="0"/>
        <v>3982.21</v>
      </c>
      <c r="W39" s="1">
        <v>43</v>
      </c>
      <c r="X39" s="1">
        <v>4083.19</v>
      </c>
      <c r="Y39" s="1">
        <v>37537</v>
      </c>
    </row>
    <row r="40" spans="1:25" x14ac:dyDescent="0.3">
      <c r="A40" s="1">
        <v>5274</v>
      </c>
      <c r="B40" s="1" t="s">
        <v>106</v>
      </c>
      <c r="C40" s="1">
        <v>0.05</v>
      </c>
      <c r="D40" s="1">
        <v>155.06</v>
      </c>
      <c r="E40" s="1">
        <v>7.07</v>
      </c>
      <c r="F40" s="1">
        <v>68</v>
      </c>
      <c r="G40" s="1" t="s">
        <v>144</v>
      </c>
      <c r="H40" s="1" t="s">
        <v>49</v>
      </c>
      <c r="I40" s="1" t="s">
        <v>28</v>
      </c>
      <c r="J40" s="1" t="s">
        <v>29</v>
      </c>
      <c r="K40" s="1" t="s">
        <v>141</v>
      </c>
      <c r="L40" s="1" t="s">
        <v>59</v>
      </c>
      <c r="M40" s="1" t="s">
        <v>142</v>
      </c>
      <c r="N40" s="1">
        <v>0.59</v>
      </c>
      <c r="O40" s="1" t="s">
        <v>33</v>
      </c>
      <c r="P40" s="1" t="s">
        <v>53</v>
      </c>
      <c r="Q40" s="1" t="s">
        <v>71</v>
      </c>
      <c r="R40" s="1" t="s">
        <v>90</v>
      </c>
      <c r="S40" s="1">
        <v>10177</v>
      </c>
      <c r="T40" s="2">
        <v>42006</v>
      </c>
      <c r="U40" s="2">
        <v>42013</v>
      </c>
      <c r="V40" s="3">
        <f t="shared" si="0"/>
        <v>4747.32</v>
      </c>
      <c r="W40" s="1">
        <v>32</v>
      </c>
      <c r="X40" s="1">
        <v>4902.38</v>
      </c>
      <c r="Y40" s="1">
        <v>37537</v>
      </c>
    </row>
    <row r="41" spans="1:25" x14ac:dyDescent="0.3">
      <c r="A41" s="1">
        <v>7786</v>
      </c>
      <c r="B41" s="1" t="s">
        <v>25</v>
      </c>
      <c r="C41" s="1">
        <v>0.09</v>
      </c>
      <c r="D41" s="1">
        <v>122.99</v>
      </c>
      <c r="E41" s="1">
        <v>70.2</v>
      </c>
      <c r="F41" s="1">
        <v>68</v>
      </c>
      <c r="G41" s="1" t="s">
        <v>144</v>
      </c>
      <c r="H41" s="1" t="s">
        <v>39</v>
      </c>
      <c r="I41" s="1" t="s">
        <v>28</v>
      </c>
      <c r="J41" s="1" t="s">
        <v>41</v>
      </c>
      <c r="K41" s="1" t="s">
        <v>42</v>
      </c>
      <c r="L41" s="1" t="s">
        <v>43</v>
      </c>
      <c r="M41" s="1" t="s">
        <v>147</v>
      </c>
      <c r="N41" s="1">
        <v>0.74</v>
      </c>
      <c r="O41" s="1" t="s">
        <v>33</v>
      </c>
      <c r="P41" s="1" t="s">
        <v>53</v>
      </c>
      <c r="Q41" s="1" t="s">
        <v>71</v>
      </c>
      <c r="R41" s="1" t="s">
        <v>90</v>
      </c>
      <c r="S41" s="1">
        <v>10177</v>
      </c>
      <c r="T41" s="2">
        <v>42037</v>
      </c>
      <c r="U41" s="2">
        <v>42039</v>
      </c>
      <c r="V41" s="3">
        <f t="shared" si="0"/>
        <v>5595.8600000000006</v>
      </c>
      <c r="W41" s="1">
        <v>49</v>
      </c>
      <c r="X41" s="1">
        <v>5718.85</v>
      </c>
      <c r="Y41" s="1">
        <v>55713</v>
      </c>
    </row>
    <row r="42" spans="1:25" x14ac:dyDescent="0.3">
      <c r="A42" s="1">
        <v>25786</v>
      </c>
      <c r="B42" s="1" t="s">
        <v>25</v>
      </c>
      <c r="C42" s="1">
        <v>0.09</v>
      </c>
      <c r="D42" s="1">
        <v>122.99</v>
      </c>
      <c r="E42" s="1">
        <v>70.2</v>
      </c>
      <c r="F42" s="1">
        <v>70</v>
      </c>
      <c r="G42" s="1" t="s">
        <v>148</v>
      </c>
      <c r="H42" s="1" t="s">
        <v>39</v>
      </c>
      <c r="I42" s="1" t="s">
        <v>28</v>
      </c>
      <c r="J42" s="1" t="s">
        <v>41</v>
      </c>
      <c r="K42" s="1" t="s">
        <v>42</v>
      </c>
      <c r="L42" s="1" t="s">
        <v>43</v>
      </c>
      <c r="M42" s="1" t="s">
        <v>147</v>
      </c>
      <c r="N42" s="1">
        <v>0.74</v>
      </c>
      <c r="O42" s="1" t="s">
        <v>33</v>
      </c>
      <c r="P42" s="1" t="s">
        <v>53</v>
      </c>
      <c r="Q42" s="1" t="s">
        <v>149</v>
      </c>
      <c r="R42" s="1" t="s">
        <v>150</v>
      </c>
      <c r="S42" s="1">
        <v>5401</v>
      </c>
      <c r="T42" s="2">
        <v>42037</v>
      </c>
      <c r="U42" s="2">
        <v>42039</v>
      </c>
      <c r="V42" s="3">
        <f t="shared" si="0"/>
        <v>1277.54</v>
      </c>
      <c r="W42" s="1">
        <v>12</v>
      </c>
      <c r="X42" s="1">
        <v>1400.53</v>
      </c>
      <c r="Y42" s="1">
        <v>87947</v>
      </c>
    </row>
    <row r="43" spans="1:25" x14ac:dyDescent="0.3">
      <c r="A43" s="1">
        <v>18281</v>
      </c>
      <c r="B43" s="1" t="s">
        <v>25</v>
      </c>
      <c r="C43" s="1">
        <v>0.04</v>
      </c>
      <c r="D43" s="1">
        <v>296.18</v>
      </c>
      <c r="E43" s="1">
        <v>54.12</v>
      </c>
      <c r="F43" s="1">
        <v>83</v>
      </c>
      <c r="G43" s="1" t="s">
        <v>151</v>
      </c>
      <c r="H43" s="1" t="s">
        <v>39</v>
      </c>
      <c r="I43" s="1" t="s">
        <v>28</v>
      </c>
      <c r="J43" s="1" t="s">
        <v>41</v>
      </c>
      <c r="K43" s="1" t="s">
        <v>152</v>
      </c>
      <c r="L43" s="1" t="s">
        <v>121</v>
      </c>
      <c r="M43" s="1" t="s">
        <v>153</v>
      </c>
      <c r="N43" s="1">
        <v>0.76</v>
      </c>
      <c r="O43" s="1" t="s">
        <v>33</v>
      </c>
      <c r="P43" s="1" t="s">
        <v>53</v>
      </c>
      <c r="Q43" s="1" t="s">
        <v>154</v>
      </c>
      <c r="R43" s="1" t="s">
        <v>155</v>
      </c>
      <c r="S43" s="1">
        <v>44708</v>
      </c>
      <c r="T43" s="2">
        <v>42078</v>
      </c>
      <c r="U43" s="2">
        <v>42078</v>
      </c>
      <c r="V43" s="3">
        <f t="shared" si="0"/>
        <v>1525.71</v>
      </c>
      <c r="W43" s="1">
        <v>6</v>
      </c>
      <c r="X43" s="1">
        <v>1821.89</v>
      </c>
      <c r="Y43" s="1">
        <v>87365</v>
      </c>
    </row>
    <row r="44" spans="1:25" x14ac:dyDescent="0.3">
      <c r="A44" s="1">
        <v>23639</v>
      </c>
      <c r="B44" s="1" t="s">
        <v>37</v>
      </c>
      <c r="C44" s="1">
        <v>0</v>
      </c>
      <c r="D44" s="1">
        <v>8.09</v>
      </c>
      <c r="E44" s="1">
        <v>7.96</v>
      </c>
      <c r="F44" s="1">
        <v>84</v>
      </c>
      <c r="G44" s="1" t="s">
        <v>156</v>
      </c>
      <c r="H44" s="1" t="s">
        <v>49</v>
      </c>
      <c r="I44" s="1" t="s">
        <v>114</v>
      </c>
      <c r="J44" s="1" t="s">
        <v>41</v>
      </c>
      <c r="K44" s="1" t="s">
        <v>50</v>
      </c>
      <c r="L44" s="1" t="s">
        <v>59</v>
      </c>
      <c r="M44" s="1" t="s">
        <v>157</v>
      </c>
      <c r="N44" s="1">
        <v>0.49</v>
      </c>
      <c r="O44" s="1" t="s">
        <v>33</v>
      </c>
      <c r="P44" s="1" t="s">
        <v>53</v>
      </c>
      <c r="Q44" s="1" t="s">
        <v>154</v>
      </c>
      <c r="R44" s="1" t="s">
        <v>158</v>
      </c>
      <c r="S44" s="1">
        <v>45231</v>
      </c>
      <c r="T44" s="2">
        <v>42037</v>
      </c>
      <c r="U44" s="2">
        <v>42038</v>
      </c>
      <c r="V44" s="3">
        <f t="shared" si="0"/>
        <v>82.89</v>
      </c>
      <c r="W44" s="1">
        <v>11</v>
      </c>
      <c r="X44" s="1">
        <v>90.98</v>
      </c>
      <c r="Y44" s="1">
        <v>87364</v>
      </c>
    </row>
    <row r="45" spans="1:25" x14ac:dyDescent="0.3">
      <c r="A45" s="1">
        <v>23880</v>
      </c>
      <c r="B45" s="1" t="s">
        <v>25</v>
      </c>
      <c r="C45" s="1">
        <v>0.08</v>
      </c>
      <c r="D45" s="1">
        <v>896.99</v>
      </c>
      <c r="E45" s="1">
        <v>19.989999999999998</v>
      </c>
      <c r="F45" s="1">
        <v>84</v>
      </c>
      <c r="G45" s="1" t="s">
        <v>156</v>
      </c>
      <c r="H45" s="1" t="s">
        <v>49</v>
      </c>
      <c r="I45" s="1" t="s">
        <v>28</v>
      </c>
      <c r="J45" s="1" t="s">
        <v>29</v>
      </c>
      <c r="K45" s="1" t="s">
        <v>109</v>
      </c>
      <c r="L45" s="1" t="s">
        <v>59</v>
      </c>
      <c r="M45" s="1" t="s">
        <v>159</v>
      </c>
      <c r="N45" s="1">
        <v>0.38</v>
      </c>
      <c r="O45" s="1" t="s">
        <v>33</v>
      </c>
      <c r="P45" s="1" t="s">
        <v>53</v>
      </c>
      <c r="Q45" s="1" t="s">
        <v>154</v>
      </c>
      <c r="R45" s="1" t="s">
        <v>158</v>
      </c>
      <c r="S45" s="1">
        <v>45231</v>
      </c>
      <c r="T45" s="2">
        <v>42093</v>
      </c>
      <c r="U45" s="2">
        <v>42096</v>
      </c>
      <c r="V45" s="3">
        <f t="shared" si="0"/>
        <v>9831.01</v>
      </c>
      <c r="W45" s="1">
        <v>13</v>
      </c>
      <c r="X45" s="1">
        <v>10728</v>
      </c>
      <c r="Y45" s="1">
        <v>87366</v>
      </c>
    </row>
    <row r="46" spans="1:25" x14ac:dyDescent="0.3">
      <c r="A46" s="1">
        <v>24663</v>
      </c>
      <c r="B46" s="1" t="s">
        <v>106</v>
      </c>
      <c r="C46" s="1">
        <v>0.05</v>
      </c>
      <c r="D46" s="1">
        <v>161.55000000000001</v>
      </c>
      <c r="E46" s="1">
        <v>19.989999999999998</v>
      </c>
      <c r="F46" s="1">
        <v>87</v>
      </c>
      <c r="G46" s="1" t="s">
        <v>160</v>
      </c>
      <c r="H46" s="1" t="s">
        <v>49</v>
      </c>
      <c r="I46" s="1" t="s">
        <v>28</v>
      </c>
      <c r="J46" s="1" t="s">
        <v>29</v>
      </c>
      <c r="K46" s="1" t="s">
        <v>141</v>
      </c>
      <c r="L46" s="1" t="s">
        <v>59</v>
      </c>
      <c r="M46" s="1" t="s">
        <v>161</v>
      </c>
      <c r="N46" s="1">
        <v>0.66</v>
      </c>
      <c r="O46" s="1" t="s">
        <v>33</v>
      </c>
      <c r="P46" s="1" t="s">
        <v>34</v>
      </c>
      <c r="Q46" s="1" t="s">
        <v>45</v>
      </c>
      <c r="R46" s="1" t="s">
        <v>162</v>
      </c>
      <c r="S46" s="1">
        <v>95687</v>
      </c>
      <c r="T46" s="2">
        <v>42158</v>
      </c>
      <c r="U46" s="2">
        <v>42163</v>
      </c>
      <c r="V46" s="3">
        <f t="shared" si="0"/>
        <v>2966.14</v>
      </c>
      <c r="W46" s="1">
        <v>19</v>
      </c>
      <c r="X46" s="1">
        <v>3127.69</v>
      </c>
      <c r="Y46" s="1">
        <v>90596</v>
      </c>
    </row>
    <row r="47" spans="1:25" x14ac:dyDescent="0.3">
      <c r="A47" s="1">
        <v>23841</v>
      </c>
      <c r="B47" s="1" t="s">
        <v>25</v>
      </c>
      <c r="C47" s="1">
        <v>0.09</v>
      </c>
      <c r="D47" s="1">
        <v>4.91</v>
      </c>
      <c r="E47" s="1">
        <v>0.5</v>
      </c>
      <c r="F47" s="1">
        <v>87</v>
      </c>
      <c r="G47" s="1" t="s">
        <v>160</v>
      </c>
      <c r="H47" s="1" t="s">
        <v>49</v>
      </c>
      <c r="I47" s="1" t="s">
        <v>28</v>
      </c>
      <c r="J47" s="1" t="s">
        <v>29</v>
      </c>
      <c r="K47" s="1" t="s">
        <v>134</v>
      </c>
      <c r="L47" s="1" t="s">
        <v>59</v>
      </c>
      <c r="M47" s="1" t="s">
        <v>163</v>
      </c>
      <c r="N47" s="1">
        <v>0.36</v>
      </c>
      <c r="O47" s="1" t="s">
        <v>33</v>
      </c>
      <c r="P47" s="1" t="s">
        <v>34</v>
      </c>
      <c r="Q47" s="1" t="s">
        <v>45</v>
      </c>
      <c r="R47" s="1" t="s">
        <v>162</v>
      </c>
      <c r="S47" s="1">
        <v>95687</v>
      </c>
      <c r="T47" s="2">
        <v>42085</v>
      </c>
      <c r="U47" s="2">
        <v>42086</v>
      </c>
      <c r="V47" s="3">
        <f t="shared" si="0"/>
        <v>36.909999999999997</v>
      </c>
      <c r="W47" s="1">
        <v>9</v>
      </c>
      <c r="X47" s="1">
        <v>41.82</v>
      </c>
      <c r="Y47" s="1">
        <v>90597</v>
      </c>
    </row>
    <row r="48" spans="1:25" x14ac:dyDescent="0.3">
      <c r="A48" s="1">
        <v>23842</v>
      </c>
      <c r="B48" s="1" t="s">
        <v>25</v>
      </c>
      <c r="C48" s="1">
        <v>0.01</v>
      </c>
      <c r="D48" s="1">
        <v>296.18</v>
      </c>
      <c r="E48" s="1">
        <v>54.12</v>
      </c>
      <c r="F48" s="1">
        <v>87</v>
      </c>
      <c r="G48" s="1" t="s">
        <v>160</v>
      </c>
      <c r="H48" s="1" t="s">
        <v>39</v>
      </c>
      <c r="I48" s="1" t="s">
        <v>28</v>
      </c>
      <c r="J48" s="1" t="s">
        <v>41</v>
      </c>
      <c r="K48" s="1" t="s">
        <v>152</v>
      </c>
      <c r="L48" s="1" t="s">
        <v>121</v>
      </c>
      <c r="M48" s="1" t="s">
        <v>153</v>
      </c>
      <c r="N48" s="1">
        <v>0.76</v>
      </c>
      <c r="O48" s="1" t="s">
        <v>33</v>
      </c>
      <c r="P48" s="1" t="s">
        <v>34</v>
      </c>
      <c r="Q48" s="1" t="s">
        <v>45</v>
      </c>
      <c r="R48" s="1" t="s">
        <v>162</v>
      </c>
      <c r="S48" s="1">
        <v>95687</v>
      </c>
      <c r="T48" s="2">
        <v>42085</v>
      </c>
      <c r="U48" s="2">
        <v>42088</v>
      </c>
      <c r="V48" s="3">
        <f t="shared" si="0"/>
        <v>2579.54</v>
      </c>
      <c r="W48" s="1">
        <v>9</v>
      </c>
      <c r="X48" s="1">
        <v>2875.72</v>
      </c>
      <c r="Y48" s="1">
        <v>90597</v>
      </c>
    </row>
    <row r="49" spans="1:25" x14ac:dyDescent="0.3">
      <c r="A49" s="1">
        <v>23071</v>
      </c>
      <c r="B49" s="1" t="s">
        <v>25</v>
      </c>
      <c r="C49" s="1">
        <v>7.0000000000000007E-2</v>
      </c>
      <c r="D49" s="1">
        <v>19.84</v>
      </c>
      <c r="E49" s="1">
        <v>4.0999999999999996</v>
      </c>
      <c r="F49" s="1">
        <v>91</v>
      </c>
      <c r="G49" s="1" t="s">
        <v>164</v>
      </c>
      <c r="H49" s="1" t="s">
        <v>49</v>
      </c>
      <c r="I49" s="1" t="s">
        <v>40</v>
      </c>
      <c r="J49" s="1" t="s">
        <v>29</v>
      </c>
      <c r="K49" s="1" t="s">
        <v>30</v>
      </c>
      <c r="L49" s="1" t="s">
        <v>31</v>
      </c>
      <c r="M49" s="1" t="s">
        <v>165</v>
      </c>
      <c r="N49" s="1">
        <v>0.44</v>
      </c>
      <c r="O49" s="1" t="s">
        <v>33</v>
      </c>
      <c r="P49" s="1" t="s">
        <v>34</v>
      </c>
      <c r="Q49" s="1" t="s">
        <v>45</v>
      </c>
      <c r="R49" s="1" t="s">
        <v>166</v>
      </c>
      <c r="S49" s="1">
        <v>94591</v>
      </c>
      <c r="T49" s="2">
        <v>42141</v>
      </c>
      <c r="U49" s="2">
        <v>42142</v>
      </c>
      <c r="V49" s="3">
        <f t="shared" si="0"/>
        <v>150.96</v>
      </c>
      <c r="W49" s="1">
        <v>9</v>
      </c>
      <c r="X49" s="1">
        <v>170.8</v>
      </c>
      <c r="Y49" s="1">
        <v>87175</v>
      </c>
    </row>
    <row r="50" spans="1:25" x14ac:dyDescent="0.3">
      <c r="A50" s="1">
        <v>19877</v>
      </c>
      <c r="B50" s="1" t="s">
        <v>56</v>
      </c>
      <c r="C50" s="1">
        <v>0.05</v>
      </c>
      <c r="D50" s="1">
        <v>5.18</v>
      </c>
      <c r="E50" s="1">
        <v>2.04</v>
      </c>
      <c r="F50" s="1">
        <v>91</v>
      </c>
      <c r="G50" s="1" t="s">
        <v>164</v>
      </c>
      <c r="H50" s="1" t="s">
        <v>49</v>
      </c>
      <c r="I50" s="1" t="s">
        <v>40</v>
      </c>
      <c r="J50" s="1" t="s">
        <v>29</v>
      </c>
      <c r="K50" s="1" t="s">
        <v>93</v>
      </c>
      <c r="L50" s="1" t="s">
        <v>31</v>
      </c>
      <c r="M50" s="1" t="s">
        <v>167</v>
      </c>
      <c r="N50" s="1">
        <v>0.36</v>
      </c>
      <c r="O50" s="1" t="s">
        <v>33</v>
      </c>
      <c r="P50" s="1" t="s">
        <v>34</v>
      </c>
      <c r="Q50" s="1" t="s">
        <v>45</v>
      </c>
      <c r="R50" s="1" t="s">
        <v>166</v>
      </c>
      <c r="S50" s="1">
        <v>94591</v>
      </c>
      <c r="T50" s="2">
        <v>42053</v>
      </c>
      <c r="U50" s="2">
        <v>42055</v>
      </c>
      <c r="V50" s="3">
        <f t="shared" si="0"/>
        <v>48.36</v>
      </c>
      <c r="W50" s="1">
        <v>10</v>
      </c>
      <c r="X50" s="1">
        <v>53.54</v>
      </c>
      <c r="Y50" s="1">
        <v>87176</v>
      </c>
    </row>
    <row r="51" spans="1:25" x14ac:dyDescent="0.3">
      <c r="A51" s="1">
        <v>19611</v>
      </c>
      <c r="B51" s="1" t="s">
        <v>56</v>
      </c>
      <c r="C51" s="1">
        <v>0.06</v>
      </c>
      <c r="D51" s="1">
        <v>175.99</v>
      </c>
      <c r="E51" s="1">
        <v>8.99</v>
      </c>
      <c r="F51" s="1">
        <v>91</v>
      </c>
      <c r="G51" s="1" t="s">
        <v>164</v>
      </c>
      <c r="H51" s="1" t="s">
        <v>49</v>
      </c>
      <c r="I51" s="1" t="s">
        <v>28</v>
      </c>
      <c r="J51" s="1" t="s">
        <v>77</v>
      </c>
      <c r="K51" s="1" t="s">
        <v>78</v>
      </c>
      <c r="L51" s="1" t="s">
        <v>59</v>
      </c>
      <c r="M51" s="1" t="s">
        <v>168</v>
      </c>
      <c r="N51" s="1">
        <v>0.56999999999999995</v>
      </c>
      <c r="O51" s="1" t="s">
        <v>33</v>
      </c>
      <c r="P51" s="1" t="s">
        <v>34</v>
      </c>
      <c r="Q51" s="1" t="s">
        <v>45</v>
      </c>
      <c r="R51" s="1" t="s">
        <v>166</v>
      </c>
      <c r="S51" s="1">
        <v>94591</v>
      </c>
      <c r="T51" s="2">
        <v>42067</v>
      </c>
      <c r="U51" s="2">
        <v>42069</v>
      </c>
      <c r="V51" s="3">
        <f t="shared" si="0"/>
        <v>3187.54</v>
      </c>
      <c r="W51" s="1">
        <v>23</v>
      </c>
      <c r="X51" s="1">
        <v>3363.53</v>
      </c>
      <c r="Y51" s="1">
        <v>87177</v>
      </c>
    </row>
    <row r="52" spans="1:25" x14ac:dyDescent="0.3">
      <c r="A52" s="1">
        <v>23069</v>
      </c>
      <c r="B52" s="1" t="s">
        <v>25</v>
      </c>
      <c r="C52" s="1">
        <v>7.0000000000000007E-2</v>
      </c>
      <c r="D52" s="1">
        <v>8.34</v>
      </c>
      <c r="E52" s="1">
        <v>1.43</v>
      </c>
      <c r="F52" s="1">
        <v>92</v>
      </c>
      <c r="G52" s="1" t="s">
        <v>169</v>
      </c>
      <c r="H52" s="1" t="s">
        <v>49</v>
      </c>
      <c r="I52" s="1" t="s">
        <v>40</v>
      </c>
      <c r="J52" s="1" t="s">
        <v>29</v>
      </c>
      <c r="K52" s="1" t="s">
        <v>93</v>
      </c>
      <c r="L52" s="1" t="s">
        <v>31</v>
      </c>
      <c r="M52" s="1" t="s">
        <v>170</v>
      </c>
      <c r="N52" s="1">
        <v>0.35</v>
      </c>
      <c r="O52" s="1" t="s">
        <v>33</v>
      </c>
      <c r="P52" s="1" t="s">
        <v>136</v>
      </c>
      <c r="Q52" s="1" t="s">
        <v>171</v>
      </c>
      <c r="R52" s="1" t="s">
        <v>172</v>
      </c>
      <c r="S52" s="1">
        <v>70056</v>
      </c>
      <c r="T52" s="2">
        <v>42141</v>
      </c>
      <c r="U52" s="2">
        <v>42143</v>
      </c>
      <c r="V52" s="3">
        <f t="shared" si="0"/>
        <v>123.74000000000001</v>
      </c>
      <c r="W52" s="1">
        <v>16</v>
      </c>
      <c r="X52" s="1">
        <v>132.08000000000001</v>
      </c>
      <c r="Y52" s="1">
        <v>87175</v>
      </c>
    </row>
    <row r="53" spans="1:25" x14ac:dyDescent="0.3">
      <c r="A53" s="1">
        <v>23070</v>
      </c>
      <c r="B53" s="1" t="s">
        <v>25</v>
      </c>
      <c r="C53" s="1">
        <v>0.09</v>
      </c>
      <c r="D53" s="1">
        <v>4.9800000000000004</v>
      </c>
      <c r="E53" s="1">
        <v>6.07</v>
      </c>
      <c r="F53" s="1">
        <v>92</v>
      </c>
      <c r="G53" s="1" t="s">
        <v>169</v>
      </c>
      <c r="H53" s="1" t="s">
        <v>49</v>
      </c>
      <c r="I53" s="1" t="s">
        <v>40</v>
      </c>
      <c r="J53" s="1" t="s">
        <v>29</v>
      </c>
      <c r="K53" s="1" t="s">
        <v>93</v>
      </c>
      <c r="L53" s="1" t="s">
        <v>59</v>
      </c>
      <c r="M53" s="1" t="s">
        <v>173</v>
      </c>
      <c r="N53" s="1">
        <v>0.36</v>
      </c>
      <c r="O53" s="1" t="s">
        <v>33</v>
      </c>
      <c r="P53" s="1" t="s">
        <v>136</v>
      </c>
      <c r="Q53" s="1" t="s">
        <v>171</v>
      </c>
      <c r="R53" s="1" t="s">
        <v>172</v>
      </c>
      <c r="S53" s="1">
        <v>70056</v>
      </c>
      <c r="T53" s="2">
        <v>42141</v>
      </c>
      <c r="U53" s="2">
        <v>42142</v>
      </c>
      <c r="V53" s="3">
        <f t="shared" si="0"/>
        <v>40.36</v>
      </c>
      <c r="W53" s="1">
        <v>9</v>
      </c>
      <c r="X53" s="1">
        <v>45.34</v>
      </c>
      <c r="Y53" s="1">
        <v>87175</v>
      </c>
    </row>
    <row r="54" spans="1:25" x14ac:dyDescent="0.3">
      <c r="A54" s="1">
        <v>23203</v>
      </c>
      <c r="B54" s="1" t="s">
        <v>56</v>
      </c>
      <c r="C54" s="1">
        <v>0.04</v>
      </c>
      <c r="D54" s="1">
        <v>12.98</v>
      </c>
      <c r="E54" s="1">
        <v>3.14</v>
      </c>
      <c r="F54" s="1">
        <v>92</v>
      </c>
      <c r="G54" s="1" t="s">
        <v>169</v>
      </c>
      <c r="H54" s="1" t="s">
        <v>27</v>
      </c>
      <c r="I54" s="1" t="s">
        <v>28</v>
      </c>
      <c r="J54" s="1" t="s">
        <v>29</v>
      </c>
      <c r="K54" s="1" t="s">
        <v>174</v>
      </c>
      <c r="L54" s="1" t="s">
        <v>51</v>
      </c>
      <c r="M54" s="1" t="s">
        <v>175</v>
      </c>
      <c r="N54" s="1">
        <v>0.6</v>
      </c>
      <c r="O54" s="1" t="s">
        <v>33</v>
      </c>
      <c r="P54" s="1" t="s">
        <v>136</v>
      </c>
      <c r="Q54" s="1" t="s">
        <v>171</v>
      </c>
      <c r="R54" s="1" t="s">
        <v>172</v>
      </c>
      <c r="S54" s="1">
        <v>70056</v>
      </c>
      <c r="T54" s="2">
        <v>42162</v>
      </c>
      <c r="U54" s="2">
        <v>42164</v>
      </c>
      <c r="V54" s="3">
        <f t="shared" si="0"/>
        <v>203.06</v>
      </c>
      <c r="W54" s="1">
        <v>16</v>
      </c>
      <c r="X54" s="1">
        <v>216.04</v>
      </c>
      <c r="Y54" s="1">
        <v>87178</v>
      </c>
    </row>
    <row r="55" spans="1:25" x14ac:dyDescent="0.3">
      <c r="A55" s="1">
        <v>6243</v>
      </c>
      <c r="B55" s="1" t="s">
        <v>37</v>
      </c>
      <c r="C55" s="1">
        <v>0.04</v>
      </c>
      <c r="D55" s="1">
        <v>160.97999999999999</v>
      </c>
      <c r="E55" s="1">
        <v>30</v>
      </c>
      <c r="F55" s="1">
        <v>94</v>
      </c>
      <c r="G55" s="1" t="s">
        <v>176</v>
      </c>
      <c r="H55" s="1" t="s">
        <v>39</v>
      </c>
      <c r="I55" s="1" t="s">
        <v>40</v>
      </c>
      <c r="J55" s="1" t="s">
        <v>41</v>
      </c>
      <c r="K55" s="1" t="s">
        <v>42</v>
      </c>
      <c r="L55" s="1" t="s">
        <v>43</v>
      </c>
      <c r="M55" s="1" t="s">
        <v>177</v>
      </c>
      <c r="N55" s="1">
        <v>0.62</v>
      </c>
      <c r="O55" s="1" t="s">
        <v>33</v>
      </c>
      <c r="P55" s="1" t="s">
        <v>61</v>
      </c>
      <c r="Q55" s="1" t="s">
        <v>178</v>
      </c>
      <c r="R55" s="1" t="s">
        <v>179</v>
      </c>
      <c r="S55" s="1">
        <v>60601</v>
      </c>
      <c r="T55" s="2">
        <v>42127</v>
      </c>
      <c r="U55" s="2">
        <v>42129</v>
      </c>
      <c r="V55" s="3">
        <f t="shared" si="0"/>
        <v>6115.3600000000006</v>
      </c>
      <c r="W55" s="1">
        <v>37</v>
      </c>
      <c r="X55" s="1">
        <v>6276.34</v>
      </c>
      <c r="Y55" s="1">
        <v>44231</v>
      </c>
    </row>
    <row r="56" spans="1:25" x14ac:dyDescent="0.3">
      <c r="A56" s="1">
        <v>6244</v>
      </c>
      <c r="B56" s="1" t="s">
        <v>37</v>
      </c>
      <c r="C56" s="1">
        <v>0.01</v>
      </c>
      <c r="D56" s="1">
        <v>17.98</v>
      </c>
      <c r="E56" s="1">
        <v>4</v>
      </c>
      <c r="F56" s="1">
        <v>94</v>
      </c>
      <c r="G56" s="1" t="s">
        <v>176</v>
      </c>
      <c r="H56" s="1" t="s">
        <v>49</v>
      </c>
      <c r="I56" s="1" t="s">
        <v>40</v>
      </c>
      <c r="J56" s="1" t="s">
        <v>77</v>
      </c>
      <c r="K56" s="1" t="s">
        <v>180</v>
      </c>
      <c r="L56" s="1" t="s">
        <v>59</v>
      </c>
      <c r="M56" s="1" t="s">
        <v>181</v>
      </c>
      <c r="N56" s="1">
        <v>0.79</v>
      </c>
      <c r="O56" s="1" t="s">
        <v>33</v>
      </c>
      <c r="P56" s="1" t="s">
        <v>61</v>
      </c>
      <c r="Q56" s="1" t="s">
        <v>178</v>
      </c>
      <c r="R56" s="1" t="s">
        <v>179</v>
      </c>
      <c r="S56" s="1">
        <v>60601</v>
      </c>
      <c r="T56" s="2">
        <v>42127</v>
      </c>
      <c r="U56" s="2">
        <v>42129</v>
      </c>
      <c r="V56" s="3">
        <f t="shared" si="0"/>
        <v>2646.42</v>
      </c>
      <c r="W56" s="1">
        <v>146</v>
      </c>
      <c r="X56" s="1">
        <v>2664.4</v>
      </c>
      <c r="Y56" s="1">
        <v>44231</v>
      </c>
    </row>
    <row r="57" spans="1:25" x14ac:dyDescent="0.3">
      <c r="A57" s="1">
        <v>24243</v>
      </c>
      <c r="B57" s="1" t="s">
        <v>37</v>
      </c>
      <c r="C57" s="1">
        <v>0.04</v>
      </c>
      <c r="D57" s="1">
        <v>160.97999999999999</v>
      </c>
      <c r="E57" s="1">
        <v>30</v>
      </c>
      <c r="F57" s="1">
        <v>97</v>
      </c>
      <c r="G57" s="1" t="s">
        <v>182</v>
      </c>
      <c r="H57" s="1" t="s">
        <v>39</v>
      </c>
      <c r="I57" s="1" t="s">
        <v>40</v>
      </c>
      <c r="J57" s="1" t="s">
        <v>41</v>
      </c>
      <c r="K57" s="1" t="s">
        <v>42</v>
      </c>
      <c r="L57" s="1" t="s">
        <v>43</v>
      </c>
      <c r="M57" s="1" t="s">
        <v>177</v>
      </c>
      <c r="N57" s="1">
        <v>0.62</v>
      </c>
      <c r="O57" s="1" t="s">
        <v>33</v>
      </c>
      <c r="P57" s="1" t="s">
        <v>61</v>
      </c>
      <c r="Q57" s="1" t="s">
        <v>183</v>
      </c>
      <c r="R57" s="1" t="s">
        <v>184</v>
      </c>
      <c r="S57" s="1">
        <v>66502</v>
      </c>
      <c r="T57" s="2">
        <v>42127</v>
      </c>
      <c r="U57" s="2">
        <v>42129</v>
      </c>
      <c r="V57" s="3">
        <f t="shared" si="0"/>
        <v>1365.7</v>
      </c>
      <c r="W57" s="1">
        <v>9</v>
      </c>
      <c r="X57" s="1">
        <v>1526.68</v>
      </c>
      <c r="Y57" s="1">
        <v>87306</v>
      </c>
    </row>
    <row r="58" spans="1:25" x14ac:dyDescent="0.3">
      <c r="A58" s="1">
        <v>24245</v>
      </c>
      <c r="B58" s="1" t="s">
        <v>37</v>
      </c>
      <c r="C58" s="1">
        <v>0.06</v>
      </c>
      <c r="D58" s="1">
        <v>115.99</v>
      </c>
      <c r="E58" s="1">
        <v>8.99</v>
      </c>
      <c r="F58" s="1">
        <v>97</v>
      </c>
      <c r="G58" s="1" t="s">
        <v>182</v>
      </c>
      <c r="H58" s="1" t="s">
        <v>49</v>
      </c>
      <c r="I58" s="1" t="s">
        <v>40</v>
      </c>
      <c r="J58" s="1" t="s">
        <v>77</v>
      </c>
      <c r="K58" s="1" t="s">
        <v>78</v>
      </c>
      <c r="L58" s="1" t="s">
        <v>59</v>
      </c>
      <c r="M58" s="1" t="s">
        <v>185</v>
      </c>
      <c r="N58" s="1">
        <v>0.57999999999999996</v>
      </c>
      <c r="O58" s="1" t="s">
        <v>33</v>
      </c>
      <c r="P58" s="1" t="s">
        <v>61</v>
      </c>
      <c r="Q58" s="1" t="s">
        <v>183</v>
      </c>
      <c r="R58" s="1" t="s">
        <v>184</v>
      </c>
      <c r="S58" s="1">
        <v>66502</v>
      </c>
      <c r="T58" s="2">
        <v>42127</v>
      </c>
      <c r="U58" s="2">
        <v>42128</v>
      </c>
      <c r="V58" s="3">
        <f t="shared" si="0"/>
        <v>1836.57</v>
      </c>
      <c r="W58" s="1">
        <v>20</v>
      </c>
      <c r="X58" s="1">
        <v>1952.56</v>
      </c>
      <c r="Y58" s="1">
        <v>87306</v>
      </c>
    </row>
    <row r="59" spans="1:25" x14ac:dyDescent="0.3">
      <c r="A59" s="1">
        <v>18494</v>
      </c>
      <c r="B59" s="1" t="s">
        <v>56</v>
      </c>
      <c r="C59" s="1">
        <v>0.1</v>
      </c>
      <c r="D59" s="1">
        <v>19.98</v>
      </c>
      <c r="E59" s="1">
        <v>4</v>
      </c>
      <c r="F59" s="1">
        <v>101</v>
      </c>
      <c r="G59" s="1" t="s">
        <v>186</v>
      </c>
      <c r="H59" s="1" t="s">
        <v>49</v>
      </c>
      <c r="I59" s="1" t="s">
        <v>114</v>
      </c>
      <c r="J59" s="1" t="s">
        <v>77</v>
      </c>
      <c r="K59" s="1" t="s">
        <v>180</v>
      </c>
      <c r="L59" s="1" t="s">
        <v>59</v>
      </c>
      <c r="M59" s="1" t="s">
        <v>187</v>
      </c>
      <c r="N59" s="1">
        <v>0.68</v>
      </c>
      <c r="O59" s="1" t="s">
        <v>33</v>
      </c>
      <c r="P59" s="1" t="s">
        <v>53</v>
      </c>
      <c r="Q59" s="1" t="s">
        <v>188</v>
      </c>
      <c r="R59" s="1" t="s">
        <v>189</v>
      </c>
      <c r="S59" s="1">
        <v>4005</v>
      </c>
      <c r="T59" s="2">
        <v>42177</v>
      </c>
      <c r="U59" s="2">
        <v>42179</v>
      </c>
      <c r="V59" s="3">
        <f t="shared" si="0"/>
        <v>283.60999999999996</v>
      </c>
      <c r="W59" s="1">
        <v>16</v>
      </c>
      <c r="X59" s="1">
        <v>303.58999999999997</v>
      </c>
      <c r="Y59" s="1">
        <v>88205</v>
      </c>
    </row>
    <row r="60" spans="1:25" x14ac:dyDescent="0.3">
      <c r="A60" s="1">
        <v>6014</v>
      </c>
      <c r="B60" s="1" t="s">
        <v>56</v>
      </c>
      <c r="C60" s="1">
        <v>0.04</v>
      </c>
      <c r="D60" s="1">
        <v>300.98</v>
      </c>
      <c r="E60" s="1">
        <v>54.92</v>
      </c>
      <c r="F60" s="1">
        <v>102</v>
      </c>
      <c r="G60" s="1" t="s">
        <v>190</v>
      </c>
      <c r="H60" s="1" t="s">
        <v>39</v>
      </c>
      <c r="I60" s="1" t="s">
        <v>114</v>
      </c>
      <c r="J60" s="1" t="s">
        <v>41</v>
      </c>
      <c r="K60" s="1" t="s">
        <v>191</v>
      </c>
      <c r="L60" s="1" t="s">
        <v>121</v>
      </c>
      <c r="M60" s="1" t="s">
        <v>192</v>
      </c>
      <c r="N60" s="1">
        <v>0.55000000000000004</v>
      </c>
      <c r="O60" s="1" t="s">
        <v>33</v>
      </c>
      <c r="P60" s="1" t="s">
        <v>53</v>
      </c>
      <c r="Q60" s="1" t="s">
        <v>193</v>
      </c>
      <c r="R60" s="1" t="s">
        <v>194</v>
      </c>
      <c r="S60" s="1">
        <v>2129</v>
      </c>
      <c r="T60" s="2">
        <v>42100</v>
      </c>
      <c r="U60" s="2">
        <v>42101</v>
      </c>
      <c r="V60" s="3">
        <f t="shared" si="0"/>
        <v>9158.9600000000009</v>
      </c>
      <c r="W60" s="1">
        <v>31</v>
      </c>
      <c r="X60" s="1">
        <v>9459.94</v>
      </c>
      <c r="Y60" s="1">
        <v>42599</v>
      </c>
    </row>
    <row r="61" spans="1:25" x14ac:dyDescent="0.3">
      <c r="A61" s="1">
        <v>494</v>
      </c>
      <c r="B61" s="1" t="s">
        <v>56</v>
      </c>
      <c r="C61" s="1">
        <v>0.1</v>
      </c>
      <c r="D61" s="1">
        <v>19.98</v>
      </c>
      <c r="E61" s="1">
        <v>4</v>
      </c>
      <c r="F61" s="1">
        <v>102</v>
      </c>
      <c r="G61" s="1" t="s">
        <v>190</v>
      </c>
      <c r="H61" s="1" t="s">
        <v>49</v>
      </c>
      <c r="I61" s="1" t="s">
        <v>114</v>
      </c>
      <c r="J61" s="1" t="s">
        <v>77</v>
      </c>
      <c r="K61" s="1" t="s">
        <v>180</v>
      </c>
      <c r="L61" s="1" t="s">
        <v>59</v>
      </c>
      <c r="M61" s="1" t="s">
        <v>187</v>
      </c>
      <c r="N61" s="1">
        <v>0.68</v>
      </c>
      <c r="O61" s="1" t="s">
        <v>33</v>
      </c>
      <c r="P61" s="1" t="s">
        <v>53</v>
      </c>
      <c r="Q61" s="1" t="s">
        <v>193</v>
      </c>
      <c r="R61" s="1" t="s">
        <v>194</v>
      </c>
      <c r="S61" s="1">
        <v>2129</v>
      </c>
      <c r="T61" s="2">
        <v>42177</v>
      </c>
      <c r="U61" s="2">
        <v>42179</v>
      </c>
      <c r="V61" s="3">
        <f t="shared" si="0"/>
        <v>1213.3399999999999</v>
      </c>
      <c r="W61" s="1">
        <v>65</v>
      </c>
      <c r="X61" s="1">
        <v>1233.32</v>
      </c>
      <c r="Y61" s="1">
        <v>3397</v>
      </c>
    </row>
    <row r="62" spans="1:25" x14ac:dyDescent="0.3">
      <c r="A62" s="1">
        <v>495</v>
      </c>
      <c r="B62" s="1" t="s">
        <v>56</v>
      </c>
      <c r="C62" s="1">
        <v>0.09</v>
      </c>
      <c r="D62" s="1">
        <v>2.88</v>
      </c>
      <c r="E62" s="1">
        <v>1.49</v>
      </c>
      <c r="F62" s="1">
        <v>102</v>
      </c>
      <c r="G62" s="1" t="s">
        <v>190</v>
      </c>
      <c r="H62" s="1" t="s">
        <v>49</v>
      </c>
      <c r="I62" s="1" t="s">
        <v>114</v>
      </c>
      <c r="J62" s="1" t="s">
        <v>29</v>
      </c>
      <c r="K62" s="1" t="s">
        <v>109</v>
      </c>
      <c r="L62" s="1" t="s">
        <v>59</v>
      </c>
      <c r="M62" s="1" t="s">
        <v>195</v>
      </c>
      <c r="N62" s="1">
        <v>0.36</v>
      </c>
      <c r="O62" s="1" t="s">
        <v>33</v>
      </c>
      <c r="P62" s="1" t="s">
        <v>53</v>
      </c>
      <c r="Q62" s="1" t="s">
        <v>193</v>
      </c>
      <c r="R62" s="1" t="s">
        <v>194</v>
      </c>
      <c r="S62" s="1">
        <v>2129</v>
      </c>
      <c r="T62" s="2">
        <v>42177</v>
      </c>
      <c r="U62" s="2">
        <v>42178</v>
      </c>
      <c r="V62" s="3">
        <f t="shared" si="0"/>
        <v>44.43</v>
      </c>
      <c r="W62" s="1">
        <v>17</v>
      </c>
      <c r="X62" s="1">
        <v>47.31</v>
      </c>
      <c r="Y62" s="1">
        <v>3397</v>
      </c>
    </row>
    <row r="63" spans="1:25" x14ac:dyDescent="0.3">
      <c r="A63" s="1">
        <v>24014</v>
      </c>
      <c r="B63" s="1" t="s">
        <v>56</v>
      </c>
      <c r="C63" s="1">
        <v>0.04</v>
      </c>
      <c r="D63" s="1">
        <v>300.98</v>
      </c>
      <c r="E63" s="1">
        <v>54.92</v>
      </c>
      <c r="F63" s="1">
        <v>107</v>
      </c>
      <c r="G63" s="1" t="s">
        <v>196</v>
      </c>
      <c r="H63" s="1" t="s">
        <v>39</v>
      </c>
      <c r="I63" s="1" t="s">
        <v>114</v>
      </c>
      <c r="J63" s="1" t="s">
        <v>41</v>
      </c>
      <c r="K63" s="1" t="s">
        <v>191</v>
      </c>
      <c r="L63" s="1" t="s">
        <v>121</v>
      </c>
      <c r="M63" s="1" t="s">
        <v>192</v>
      </c>
      <c r="N63" s="1">
        <v>0.55000000000000004</v>
      </c>
      <c r="O63" s="1" t="s">
        <v>33</v>
      </c>
      <c r="P63" s="1" t="s">
        <v>53</v>
      </c>
      <c r="Q63" s="1" t="s">
        <v>197</v>
      </c>
      <c r="R63" s="1" t="s">
        <v>198</v>
      </c>
      <c r="S63" s="1">
        <v>3820</v>
      </c>
      <c r="T63" s="2">
        <v>42100</v>
      </c>
      <c r="U63" s="2">
        <v>42101</v>
      </c>
      <c r="V63" s="3">
        <f t="shared" si="0"/>
        <v>2140.29</v>
      </c>
      <c r="W63" s="1">
        <v>8</v>
      </c>
      <c r="X63" s="1">
        <v>2441.27</v>
      </c>
      <c r="Y63" s="1">
        <v>88204</v>
      </c>
    </row>
    <row r="64" spans="1:25" x14ac:dyDescent="0.3">
      <c r="A64" s="1">
        <v>18495</v>
      </c>
      <c r="B64" s="1" t="s">
        <v>56</v>
      </c>
      <c r="C64" s="1">
        <v>0.09</v>
      </c>
      <c r="D64" s="1">
        <v>2.88</v>
      </c>
      <c r="E64" s="1">
        <v>1.49</v>
      </c>
      <c r="F64" s="1">
        <v>109</v>
      </c>
      <c r="G64" s="1" t="s">
        <v>199</v>
      </c>
      <c r="H64" s="1" t="s">
        <v>49</v>
      </c>
      <c r="I64" s="1" t="s">
        <v>114</v>
      </c>
      <c r="J64" s="1" t="s">
        <v>29</v>
      </c>
      <c r="K64" s="1" t="s">
        <v>109</v>
      </c>
      <c r="L64" s="1" t="s">
        <v>59</v>
      </c>
      <c r="M64" s="1" t="s">
        <v>195</v>
      </c>
      <c r="N64" s="1">
        <v>0.36</v>
      </c>
      <c r="O64" s="1" t="s">
        <v>33</v>
      </c>
      <c r="P64" s="1" t="s">
        <v>53</v>
      </c>
      <c r="Q64" s="1" t="s">
        <v>54</v>
      </c>
      <c r="R64" s="1" t="s">
        <v>200</v>
      </c>
      <c r="S64" s="1">
        <v>7644</v>
      </c>
      <c r="T64" s="2">
        <v>42177</v>
      </c>
      <c r="U64" s="2">
        <v>42178</v>
      </c>
      <c r="V64" s="3">
        <f t="shared" si="0"/>
        <v>8.25</v>
      </c>
      <c r="W64" s="1">
        <v>4</v>
      </c>
      <c r="X64" s="1">
        <v>11.13</v>
      </c>
      <c r="Y64" s="1">
        <v>88205</v>
      </c>
    </row>
    <row r="65" spans="1:25" x14ac:dyDescent="0.3">
      <c r="A65" s="1">
        <v>19074</v>
      </c>
      <c r="B65" s="1" t="s">
        <v>25</v>
      </c>
      <c r="C65" s="1">
        <v>0.03</v>
      </c>
      <c r="D65" s="1">
        <v>4.26</v>
      </c>
      <c r="E65" s="1">
        <v>1.2</v>
      </c>
      <c r="F65" s="1">
        <v>114</v>
      </c>
      <c r="G65" s="1" t="s">
        <v>201</v>
      </c>
      <c r="H65" s="1" t="s">
        <v>49</v>
      </c>
      <c r="I65" s="1" t="s">
        <v>40</v>
      </c>
      <c r="J65" s="1" t="s">
        <v>29</v>
      </c>
      <c r="K65" s="1" t="s">
        <v>30</v>
      </c>
      <c r="L65" s="1" t="s">
        <v>31</v>
      </c>
      <c r="M65" s="1" t="s">
        <v>202</v>
      </c>
      <c r="N65" s="1">
        <v>0.44</v>
      </c>
      <c r="O65" s="1" t="s">
        <v>33</v>
      </c>
      <c r="P65" s="1" t="s">
        <v>34</v>
      </c>
      <c r="Q65" s="1" t="s">
        <v>102</v>
      </c>
      <c r="R65" s="1" t="s">
        <v>203</v>
      </c>
      <c r="S65" s="1">
        <v>97035</v>
      </c>
      <c r="T65" s="2">
        <v>42007</v>
      </c>
      <c r="U65" s="2">
        <v>42008</v>
      </c>
      <c r="V65" s="3">
        <f t="shared" si="0"/>
        <v>25.240000000000002</v>
      </c>
      <c r="W65" s="1">
        <v>7</v>
      </c>
      <c r="X65" s="1">
        <v>29.5</v>
      </c>
      <c r="Y65" s="1">
        <v>89583</v>
      </c>
    </row>
    <row r="66" spans="1:25" x14ac:dyDescent="0.3">
      <c r="A66" s="1">
        <v>19950</v>
      </c>
      <c r="B66" s="1" t="s">
        <v>56</v>
      </c>
      <c r="C66" s="1">
        <v>0.01</v>
      </c>
      <c r="D66" s="1">
        <v>4.91</v>
      </c>
      <c r="E66" s="1">
        <v>0.5</v>
      </c>
      <c r="F66" s="1">
        <v>114</v>
      </c>
      <c r="G66" s="1" t="s">
        <v>201</v>
      </c>
      <c r="H66" s="1" t="s">
        <v>49</v>
      </c>
      <c r="I66" s="1" t="s">
        <v>40</v>
      </c>
      <c r="J66" s="1" t="s">
        <v>29</v>
      </c>
      <c r="K66" s="1" t="s">
        <v>134</v>
      </c>
      <c r="L66" s="1" t="s">
        <v>59</v>
      </c>
      <c r="M66" s="1" t="s">
        <v>163</v>
      </c>
      <c r="N66" s="1">
        <v>0.36</v>
      </c>
      <c r="O66" s="1" t="s">
        <v>33</v>
      </c>
      <c r="P66" s="1" t="s">
        <v>34</v>
      </c>
      <c r="Q66" s="1" t="s">
        <v>102</v>
      </c>
      <c r="R66" s="1" t="s">
        <v>203</v>
      </c>
      <c r="S66" s="1">
        <v>97035</v>
      </c>
      <c r="T66" s="2">
        <v>42098</v>
      </c>
      <c r="U66" s="2">
        <v>42100</v>
      </c>
      <c r="V66" s="3">
        <f t="shared" si="0"/>
        <v>53.42</v>
      </c>
      <c r="W66" s="1">
        <v>12</v>
      </c>
      <c r="X66" s="1">
        <v>58.33</v>
      </c>
      <c r="Y66" s="1">
        <v>89584</v>
      </c>
    </row>
    <row r="67" spans="1:25" x14ac:dyDescent="0.3">
      <c r="A67" s="1">
        <v>19951</v>
      </c>
      <c r="B67" s="1" t="s">
        <v>56</v>
      </c>
      <c r="C67" s="1">
        <v>0.09</v>
      </c>
      <c r="D67" s="1">
        <v>4</v>
      </c>
      <c r="E67" s="1">
        <v>1.3</v>
      </c>
      <c r="F67" s="1">
        <v>114</v>
      </c>
      <c r="G67" s="1" t="s">
        <v>201</v>
      </c>
      <c r="H67" s="1" t="s">
        <v>27</v>
      </c>
      <c r="I67" s="1" t="s">
        <v>40</v>
      </c>
      <c r="J67" s="1" t="s">
        <v>29</v>
      </c>
      <c r="K67" s="1" t="s">
        <v>93</v>
      </c>
      <c r="L67" s="1" t="s">
        <v>31</v>
      </c>
      <c r="M67" s="1" t="s">
        <v>204</v>
      </c>
      <c r="N67" s="1">
        <v>0.37</v>
      </c>
      <c r="O67" s="1" t="s">
        <v>33</v>
      </c>
      <c r="P67" s="1" t="s">
        <v>34</v>
      </c>
      <c r="Q67" s="1" t="s">
        <v>102</v>
      </c>
      <c r="R67" s="1" t="s">
        <v>203</v>
      </c>
      <c r="S67" s="1">
        <v>97035</v>
      </c>
      <c r="T67" s="2">
        <v>42098</v>
      </c>
      <c r="U67" s="2">
        <v>42100</v>
      </c>
      <c r="V67" s="3">
        <f t="shared" ref="V67:V100" si="1">X67-D67</f>
        <v>16.420000000000002</v>
      </c>
      <c r="W67" s="1">
        <v>5</v>
      </c>
      <c r="X67" s="1">
        <v>20.420000000000002</v>
      </c>
      <c r="Y67" s="1">
        <v>89584</v>
      </c>
    </row>
    <row r="68" spans="1:25" x14ac:dyDescent="0.3">
      <c r="A68" s="1">
        <v>26241</v>
      </c>
      <c r="B68" s="1" t="s">
        <v>106</v>
      </c>
      <c r="C68" s="1">
        <v>7.0000000000000007E-2</v>
      </c>
      <c r="D68" s="1">
        <v>2.12</v>
      </c>
      <c r="E68" s="1">
        <v>1.99</v>
      </c>
      <c r="F68" s="1">
        <v>115</v>
      </c>
      <c r="G68" s="1" t="s">
        <v>205</v>
      </c>
      <c r="H68" s="1" t="s">
        <v>49</v>
      </c>
      <c r="I68" s="1" t="s">
        <v>40</v>
      </c>
      <c r="J68" s="1" t="s">
        <v>77</v>
      </c>
      <c r="K68" s="1" t="s">
        <v>180</v>
      </c>
      <c r="L68" s="1" t="s">
        <v>51</v>
      </c>
      <c r="M68" s="1" t="s">
        <v>206</v>
      </c>
      <c r="N68" s="1">
        <v>0.55000000000000004</v>
      </c>
      <c r="O68" s="1" t="s">
        <v>33</v>
      </c>
      <c r="P68" s="1" t="s">
        <v>34</v>
      </c>
      <c r="Q68" s="1" t="s">
        <v>102</v>
      </c>
      <c r="R68" s="1" t="s">
        <v>207</v>
      </c>
      <c r="S68" s="1">
        <v>97128</v>
      </c>
      <c r="T68" s="2">
        <v>42103</v>
      </c>
      <c r="U68" s="2">
        <v>42105</v>
      </c>
      <c r="V68" s="3">
        <f t="shared" si="1"/>
        <v>23.95</v>
      </c>
      <c r="W68" s="1">
        <v>12</v>
      </c>
      <c r="X68" s="1">
        <v>26.07</v>
      </c>
      <c r="Y68" s="1">
        <v>89585</v>
      </c>
    </row>
    <row r="69" spans="1:25" x14ac:dyDescent="0.3">
      <c r="A69" s="1">
        <v>1074</v>
      </c>
      <c r="B69" s="1" t="s">
        <v>25</v>
      </c>
      <c r="C69" s="1">
        <v>0.03</v>
      </c>
      <c r="D69" s="1">
        <v>4.26</v>
      </c>
      <c r="E69" s="1">
        <v>1.2</v>
      </c>
      <c r="F69" s="1">
        <v>117</v>
      </c>
      <c r="G69" s="1" t="s">
        <v>208</v>
      </c>
      <c r="H69" s="1" t="s">
        <v>49</v>
      </c>
      <c r="I69" s="1" t="s">
        <v>40</v>
      </c>
      <c r="J69" s="1" t="s">
        <v>29</v>
      </c>
      <c r="K69" s="1" t="s">
        <v>30</v>
      </c>
      <c r="L69" s="1" t="s">
        <v>31</v>
      </c>
      <c r="M69" s="1" t="s">
        <v>202</v>
      </c>
      <c r="N69" s="1">
        <v>0.44</v>
      </c>
      <c r="O69" s="1" t="s">
        <v>33</v>
      </c>
      <c r="P69" s="1" t="s">
        <v>34</v>
      </c>
      <c r="Q69" s="1" t="s">
        <v>35</v>
      </c>
      <c r="R69" s="1" t="s">
        <v>209</v>
      </c>
      <c r="S69" s="1">
        <v>98103</v>
      </c>
      <c r="T69" s="2">
        <v>42007</v>
      </c>
      <c r="U69" s="2">
        <v>42008</v>
      </c>
      <c r="V69" s="3">
        <f t="shared" si="1"/>
        <v>117.97</v>
      </c>
      <c r="W69" s="1">
        <v>29</v>
      </c>
      <c r="X69" s="1">
        <v>122.23</v>
      </c>
      <c r="Y69" s="1">
        <v>7909</v>
      </c>
    </row>
    <row r="70" spans="1:25" x14ac:dyDescent="0.3">
      <c r="A70" s="1">
        <v>1950</v>
      </c>
      <c r="B70" s="1" t="s">
        <v>56</v>
      </c>
      <c r="C70" s="1">
        <v>0.01</v>
      </c>
      <c r="D70" s="1">
        <v>4.91</v>
      </c>
      <c r="E70" s="1">
        <v>0.5</v>
      </c>
      <c r="F70" s="1">
        <v>117</v>
      </c>
      <c r="G70" s="1" t="s">
        <v>208</v>
      </c>
      <c r="H70" s="1" t="s">
        <v>49</v>
      </c>
      <c r="I70" s="1" t="s">
        <v>40</v>
      </c>
      <c r="J70" s="1" t="s">
        <v>29</v>
      </c>
      <c r="K70" s="1" t="s">
        <v>134</v>
      </c>
      <c r="L70" s="1" t="s">
        <v>59</v>
      </c>
      <c r="M70" s="1" t="s">
        <v>163</v>
      </c>
      <c r="N70" s="1">
        <v>0.36</v>
      </c>
      <c r="O70" s="1" t="s">
        <v>33</v>
      </c>
      <c r="P70" s="1" t="s">
        <v>34</v>
      </c>
      <c r="Q70" s="1" t="s">
        <v>35</v>
      </c>
      <c r="R70" s="1" t="s">
        <v>209</v>
      </c>
      <c r="S70" s="1">
        <v>98103</v>
      </c>
      <c r="T70" s="2">
        <v>42098</v>
      </c>
      <c r="U70" s="2">
        <v>42100</v>
      </c>
      <c r="V70" s="3">
        <f t="shared" si="1"/>
        <v>223.55</v>
      </c>
      <c r="W70" s="1">
        <v>47</v>
      </c>
      <c r="X70" s="1">
        <v>228.46</v>
      </c>
      <c r="Y70" s="1">
        <v>13959</v>
      </c>
    </row>
    <row r="71" spans="1:25" x14ac:dyDescent="0.3">
      <c r="A71" s="1">
        <v>1951</v>
      </c>
      <c r="B71" s="1" t="s">
        <v>56</v>
      </c>
      <c r="C71" s="1">
        <v>0.09</v>
      </c>
      <c r="D71" s="1">
        <v>4</v>
      </c>
      <c r="E71" s="1">
        <v>1.3</v>
      </c>
      <c r="F71" s="1">
        <v>117</v>
      </c>
      <c r="G71" s="1" t="s">
        <v>208</v>
      </c>
      <c r="H71" s="1" t="s">
        <v>27</v>
      </c>
      <c r="I71" s="1" t="s">
        <v>40</v>
      </c>
      <c r="J71" s="1" t="s">
        <v>29</v>
      </c>
      <c r="K71" s="1" t="s">
        <v>93</v>
      </c>
      <c r="L71" s="1" t="s">
        <v>31</v>
      </c>
      <c r="M71" s="1" t="s">
        <v>204</v>
      </c>
      <c r="N71" s="1">
        <v>0.37</v>
      </c>
      <c r="O71" s="1" t="s">
        <v>33</v>
      </c>
      <c r="P71" s="1" t="s">
        <v>34</v>
      </c>
      <c r="Q71" s="1" t="s">
        <v>35</v>
      </c>
      <c r="R71" s="1" t="s">
        <v>209</v>
      </c>
      <c r="S71" s="1">
        <v>98103</v>
      </c>
      <c r="T71" s="2">
        <v>42098</v>
      </c>
      <c r="U71" s="2">
        <v>42100</v>
      </c>
      <c r="V71" s="3">
        <f t="shared" si="1"/>
        <v>73.61</v>
      </c>
      <c r="W71" s="1">
        <v>19</v>
      </c>
      <c r="X71" s="1">
        <v>77.61</v>
      </c>
      <c r="Y71" s="1">
        <v>13959</v>
      </c>
    </row>
    <row r="72" spans="1:25" x14ac:dyDescent="0.3">
      <c r="A72" s="1">
        <v>8241</v>
      </c>
      <c r="B72" s="1" t="s">
        <v>106</v>
      </c>
      <c r="C72" s="1">
        <v>7.0000000000000007E-2</v>
      </c>
      <c r="D72" s="1">
        <v>2.12</v>
      </c>
      <c r="E72" s="1">
        <v>1.99</v>
      </c>
      <c r="F72" s="1">
        <v>117</v>
      </c>
      <c r="G72" s="1" t="s">
        <v>208</v>
      </c>
      <c r="H72" s="1" t="s">
        <v>49</v>
      </c>
      <c r="I72" s="1" t="s">
        <v>40</v>
      </c>
      <c r="J72" s="1" t="s">
        <v>77</v>
      </c>
      <c r="K72" s="1" t="s">
        <v>180</v>
      </c>
      <c r="L72" s="1" t="s">
        <v>51</v>
      </c>
      <c r="M72" s="1" t="s">
        <v>206</v>
      </c>
      <c r="N72" s="1">
        <v>0.55000000000000004</v>
      </c>
      <c r="O72" s="1" t="s">
        <v>33</v>
      </c>
      <c r="P72" s="1" t="s">
        <v>34</v>
      </c>
      <c r="Q72" s="1" t="s">
        <v>35</v>
      </c>
      <c r="R72" s="1" t="s">
        <v>209</v>
      </c>
      <c r="S72" s="1">
        <v>98103</v>
      </c>
      <c r="T72" s="2">
        <v>42103</v>
      </c>
      <c r="U72" s="2">
        <v>42105</v>
      </c>
      <c r="V72" s="3">
        <f t="shared" si="1"/>
        <v>97.82</v>
      </c>
      <c r="W72" s="1">
        <v>46</v>
      </c>
      <c r="X72" s="1">
        <v>99.94</v>
      </c>
      <c r="Y72" s="1">
        <v>58914</v>
      </c>
    </row>
    <row r="73" spans="1:25" x14ac:dyDescent="0.3">
      <c r="A73" s="1">
        <v>20688</v>
      </c>
      <c r="B73" s="1" t="s">
        <v>25</v>
      </c>
      <c r="C73" s="1">
        <v>0.05</v>
      </c>
      <c r="D73" s="1">
        <v>6.3</v>
      </c>
      <c r="E73" s="1">
        <v>0.5</v>
      </c>
      <c r="F73" s="1">
        <v>120</v>
      </c>
      <c r="G73" s="1" t="s">
        <v>210</v>
      </c>
      <c r="H73" s="1" t="s">
        <v>49</v>
      </c>
      <c r="I73" s="1" t="s">
        <v>28</v>
      </c>
      <c r="J73" s="1" t="s">
        <v>29</v>
      </c>
      <c r="K73" s="1" t="s">
        <v>134</v>
      </c>
      <c r="L73" s="1" t="s">
        <v>59</v>
      </c>
      <c r="M73" s="1" t="s">
        <v>211</v>
      </c>
      <c r="N73" s="1">
        <v>0.39</v>
      </c>
      <c r="O73" s="1" t="s">
        <v>33</v>
      </c>
      <c r="P73" s="1" t="s">
        <v>34</v>
      </c>
      <c r="Q73" s="1" t="s">
        <v>212</v>
      </c>
      <c r="R73" s="1" t="s">
        <v>213</v>
      </c>
      <c r="S73" s="1">
        <v>84041</v>
      </c>
      <c r="T73" s="2">
        <v>42016</v>
      </c>
      <c r="U73" s="2">
        <v>42017</v>
      </c>
      <c r="V73" s="3">
        <f t="shared" si="1"/>
        <v>53.550000000000004</v>
      </c>
      <c r="W73" s="1">
        <v>10</v>
      </c>
      <c r="X73" s="1">
        <v>59.85</v>
      </c>
      <c r="Y73" s="1">
        <v>86520</v>
      </c>
    </row>
    <row r="74" spans="1:25" x14ac:dyDescent="0.3">
      <c r="A74" s="1">
        <v>20689</v>
      </c>
      <c r="B74" s="1" t="s">
        <v>25</v>
      </c>
      <c r="C74" s="1">
        <v>0.09</v>
      </c>
      <c r="D74" s="1">
        <v>205.99</v>
      </c>
      <c r="E74" s="1">
        <v>3</v>
      </c>
      <c r="F74" s="1">
        <v>120</v>
      </c>
      <c r="G74" s="1" t="s">
        <v>210</v>
      </c>
      <c r="H74" s="1" t="s">
        <v>27</v>
      </c>
      <c r="I74" s="1" t="s">
        <v>28</v>
      </c>
      <c r="J74" s="1" t="s">
        <v>77</v>
      </c>
      <c r="K74" s="1" t="s">
        <v>78</v>
      </c>
      <c r="L74" s="1" t="s">
        <v>59</v>
      </c>
      <c r="M74" s="1" t="s">
        <v>214</v>
      </c>
      <c r="N74" s="1">
        <v>0.57999999999999996</v>
      </c>
      <c r="O74" s="1" t="s">
        <v>33</v>
      </c>
      <c r="P74" s="1" t="s">
        <v>34</v>
      </c>
      <c r="Q74" s="1" t="s">
        <v>212</v>
      </c>
      <c r="R74" s="1" t="s">
        <v>213</v>
      </c>
      <c r="S74" s="1">
        <v>84041</v>
      </c>
      <c r="T74" s="2">
        <v>42016</v>
      </c>
      <c r="U74" s="2">
        <v>42018</v>
      </c>
      <c r="V74" s="3">
        <f t="shared" si="1"/>
        <v>1502.74</v>
      </c>
      <c r="W74" s="1">
        <v>10</v>
      </c>
      <c r="X74" s="1">
        <v>1708.73</v>
      </c>
      <c r="Y74" s="1">
        <v>86520</v>
      </c>
    </row>
    <row r="75" spans="1:25" x14ac:dyDescent="0.3">
      <c r="A75" s="1">
        <v>19942</v>
      </c>
      <c r="B75" s="1" t="s">
        <v>47</v>
      </c>
      <c r="C75" s="1">
        <v>0.06</v>
      </c>
      <c r="D75" s="1">
        <v>8.57</v>
      </c>
      <c r="E75" s="1">
        <v>6.14</v>
      </c>
      <c r="F75" s="1">
        <v>123</v>
      </c>
      <c r="G75" s="1" t="s">
        <v>215</v>
      </c>
      <c r="H75" s="1" t="s">
        <v>49</v>
      </c>
      <c r="I75" s="1" t="s">
        <v>40</v>
      </c>
      <c r="J75" s="1" t="s">
        <v>29</v>
      </c>
      <c r="K75" s="1" t="s">
        <v>174</v>
      </c>
      <c r="L75" s="1" t="s">
        <v>51</v>
      </c>
      <c r="M75" s="1" t="s">
        <v>216</v>
      </c>
      <c r="N75" s="1">
        <v>0.59</v>
      </c>
      <c r="O75" s="1" t="s">
        <v>33</v>
      </c>
      <c r="P75" s="1" t="s">
        <v>136</v>
      </c>
      <c r="Q75" s="1" t="s">
        <v>137</v>
      </c>
      <c r="R75" s="1" t="s">
        <v>217</v>
      </c>
      <c r="S75" s="1">
        <v>22102</v>
      </c>
      <c r="T75" s="2">
        <v>42103</v>
      </c>
      <c r="U75" s="2">
        <v>42104</v>
      </c>
      <c r="V75" s="3">
        <f t="shared" si="1"/>
        <v>86.4</v>
      </c>
      <c r="W75" s="1">
        <v>11</v>
      </c>
      <c r="X75" s="1">
        <v>94.97</v>
      </c>
      <c r="Y75" s="1">
        <v>90669</v>
      </c>
    </row>
    <row r="76" spans="1:25" x14ac:dyDescent="0.3">
      <c r="A76" s="1">
        <v>24319</v>
      </c>
      <c r="B76" s="1" t="s">
        <v>37</v>
      </c>
      <c r="C76" s="1">
        <v>0.02</v>
      </c>
      <c r="D76" s="1">
        <v>1.74</v>
      </c>
      <c r="E76" s="1">
        <v>4.08</v>
      </c>
      <c r="F76" s="1">
        <v>129</v>
      </c>
      <c r="G76" s="1" t="s">
        <v>218</v>
      </c>
      <c r="H76" s="1" t="s">
        <v>49</v>
      </c>
      <c r="I76" s="1" t="s">
        <v>58</v>
      </c>
      <c r="J76" s="1" t="s">
        <v>41</v>
      </c>
      <c r="K76" s="1" t="s">
        <v>50</v>
      </c>
      <c r="L76" s="1" t="s">
        <v>51</v>
      </c>
      <c r="M76" s="1" t="s">
        <v>219</v>
      </c>
      <c r="N76" s="1">
        <v>0.53</v>
      </c>
      <c r="O76" s="1" t="s">
        <v>33</v>
      </c>
      <c r="P76" s="1" t="s">
        <v>61</v>
      </c>
      <c r="Q76" s="1" t="s">
        <v>178</v>
      </c>
      <c r="R76" s="1" t="s">
        <v>220</v>
      </c>
      <c r="S76" s="1">
        <v>62002</v>
      </c>
      <c r="T76" s="2">
        <v>42031</v>
      </c>
      <c r="U76" s="2">
        <v>42032</v>
      </c>
      <c r="V76" s="3"/>
      <c r="W76" s="1">
        <v>5</v>
      </c>
      <c r="X76" s="1">
        <v>10.23</v>
      </c>
      <c r="Y76" s="1">
        <v>86693</v>
      </c>
    </row>
    <row r="77" spans="1:25" x14ac:dyDescent="0.3">
      <c r="A77" s="1">
        <v>18161</v>
      </c>
      <c r="B77" s="1" t="s">
        <v>37</v>
      </c>
      <c r="C77" s="1">
        <v>7.0000000000000007E-2</v>
      </c>
      <c r="D77" s="1">
        <v>15.74</v>
      </c>
      <c r="E77" s="1">
        <v>1.39</v>
      </c>
      <c r="F77" s="1">
        <v>129</v>
      </c>
      <c r="G77" s="1" t="s">
        <v>218</v>
      </c>
      <c r="H77" s="1" t="s">
        <v>49</v>
      </c>
      <c r="I77" s="1" t="s">
        <v>58</v>
      </c>
      <c r="J77" s="1" t="s">
        <v>29</v>
      </c>
      <c r="K77" s="1" t="s">
        <v>69</v>
      </c>
      <c r="L77" s="1" t="s">
        <v>59</v>
      </c>
      <c r="M77" s="1" t="s">
        <v>221</v>
      </c>
      <c r="N77" s="1">
        <v>0.4</v>
      </c>
      <c r="O77" s="1" t="s">
        <v>33</v>
      </c>
      <c r="P77" s="1" t="s">
        <v>61</v>
      </c>
      <c r="Q77" s="1" t="s">
        <v>178</v>
      </c>
      <c r="R77" s="1" t="s">
        <v>220</v>
      </c>
      <c r="S77" s="1">
        <v>62002</v>
      </c>
      <c r="T77" s="2">
        <v>42149</v>
      </c>
      <c r="U77" s="2">
        <v>42150</v>
      </c>
      <c r="V77" s="3">
        <f t="shared" si="1"/>
        <v>201.48999999999998</v>
      </c>
      <c r="W77" s="1">
        <v>14</v>
      </c>
      <c r="X77" s="1">
        <v>217.23</v>
      </c>
      <c r="Y77" s="1">
        <v>86694</v>
      </c>
    </row>
    <row r="78" spans="1:25" x14ac:dyDescent="0.3">
      <c r="A78" s="1">
        <v>25762</v>
      </c>
      <c r="B78" s="1" t="s">
        <v>47</v>
      </c>
      <c r="C78" s="1">
        <v>0.04</v>
      </c>
      <c r="D78" s="1">
        <v>18.97</v>
      </c>
      <c r="E78" s="1">
        <v>9.5399999999999991</v>
      </c>
      <c r="F78" s="1">
        <v>136</v>
      </c>
      <c r="G78" s="1" t="s">
        <v>222</v>
      </c>
      <c r="H78" s="1" t="s">
        <v>49</v>
      </c>
      <c r="I78" s="1" t="s">
        <v>58</v>
      </c>
      <c r="J78" s="1" t="s">
        <v>29</v>
      </c>
      <c r="K78" s="1" t="s">
        <v>93</v>
      </c>
      <c r="L78" s="1" t="s">
        <v>59</v>
      </c>
      <c r="M78" s="1" t="s">
        <v>223</v>
      </c>
      <c r="N78" s="1">
        <v>0.37</v>
      </c>
      <c r="O78" s="1" t="s">
        <v>33</v>
      </c>
      <c r="P78" s="1" t="s">
        <v>34</v>
      </c>
      <c r="Q78" s="1" t="s">
        <v>45</v>
      </c>
      <c r="R78" s="1" t="s">
        <v>224</v>
      </c>
      <c r="S78" s="1">
        <v>94952</v>
      </c>
      <c r="T78" s="2">
        <v>42140</v>
      </c>
      <c r="U78" s="2">
        <v>42141</v>
      </c>
      <c r="V78" s="3">
        <f t="shared" si="1"/>
        <v>82.77</v>
      </c>
      <c r="W78" s="1">
        <v>5</v>
      </c>
      <c r="X78" s="1">
        <v>101.74</v>
      </c>
      <c r="Y78" s="1">
        <v>88534</v>
      </c>
    </row>
    <row r="79" spans="1:25" x14ac:dyDescent="0.3">
      <c r="A79" s="1">
        <v>25764</v>
      </c>
      <c r="B79" s="1" t="s">
        <v>47</v>
      </c>
      <c r="C79" s="1">
        <v>0.09</v>
      </c>
      <c r="D79" s="1">
        <v>10.98</v>
      </c>
      <c r="E79" s="1">
        <v>3.37</v>
      </c>
      <c r="F79" s="1">
        <v>136</v>
      </c>
      <c r="G79" s="1" t="s">
        <v>222</v>
      </c>
      <c r="H79" s="1" t="s">
        <v>49</v>
      </c>
      <c r="I79" s="1" t="s">
        <v>58</v>
      </c>
      <c r="J79" s="1" t="s">
        <v>29</v>
      </c>
      <c r="K79" s="1" t="s">
        <v>174</v>
      </c>
      <c r="L79" s="1" t="s">
        <v>51</v>
      </c>
      <c r="M79" s="1" t="s">
        <v>225</v>
      </c>
      <c r="N79" s="1">
        <v>0.56999999999999995</v>
      </c>
      <c r="O79" s="1" t="s">
        <v>33</v>
      </c>
      <c r="P79" s="1" t="s">
        <v>34</v>
      </c>
      <c r="Q79" s="1" t="s">
        <v>45</v>
      </c>
      <c r="R79" s="1" t="s">
        <v>224</v>
      </c>
      <c r="S79" s="1">
        <v>94952</v>
      </c>
      <c r="T79" s="2">
        <v>42140</v>
      </c>
      <c r="U79" s="2">
        <v>42141</v>
      </c>
      <c r="V79" s="3">
        <f t="shared" si="1"/>
        <v>73.539999999999992</v>
      </c>
      <c r="W79" s="1">
        <v>8</v>
      </c>
      <c r="X79" s="1">
        <v>84.52</v>
      </c>
      <c r="Y79" s="1">
        <v>88534</v>
      </c>
    </row>
    <row r="80" spans="1:25" x14ac:dyDescent="0.3">
      <c r="A80" s="1">
        <v>24803</v>
      </c>
      <c r="B80" s="1" t="s">
        <v>47</v>
      </c>
      <c r="C80" s="1">
        <v>0.03</v>
      </c>
      <c r="D80" s="1">
        <v>22.84</v>
      </c>
      <c r="E80" s="1">
        <v>11.54</v>
      </c>
      <c r="F80" s="1">
        <v>142</v>
      </c>
      <c r="G80" s="1" t="s">
        <v>226</v>
      </c>
      <c r="H80" s="1" t="s">
        <v>49</v>
      </c>
      <c r="I80" s="1" t="s">
        <v>58</v>
      </c>
      <c r="J80" s="1" t="s">
        <v>29</v>
      </c>
      <c r="K80" s="1" t="s">
        <v>93</v>
      </c>
      <c r="L80" s="1" t="s">
        <v>59</v>
      </c>
      <c r="M80" s="1" t="s">
        <v>227</v>
      </c>
      <c r="N80" s="1">
        <v>0.39</v>
      </c>
      <c r="O80" s="1" t="s">
        <v>33</v>
      </c>
      <c r="P80" s="1" t="s">
        <v>53</v>
      </c>
      <c r="Q80" s="1" t="s">
        <v>228</v>
      </c>
      <c r="R80" s="1" t="s">
        <v>229</v>
      </c>
      <c r="S80" s="1">
        <v>6401</v>
      </c>
      <c r="T80" s="2">
        <v>42157</v>
      </c>
      <c r="U80" s="2">
        <v>42158</v>
      </c>
      <c r="V80" s="3">
        <f t="shared" si="1"/>
        <v>289.75</v>
      </c>
      <c r="W80" s="1">
        <v>13</v>
      </c>
      <c r="X80" s="1">
        <v>312.58999999999997</v>
      </c>
      <c r="Y80" s="1">
        <v>91087</v>
      </c>
    </row>
    <row r="81" spans="1:25" x14ac:dyDescent="0.3">
      <c r="A81" s="1">
        <v>24805</v>
      </c>
      <c r="B81" s="1" t="s">
        <v>47</v>
      </c>
      <c r="C81" s="1">
        <v>0.05</v>
      </c>
      <c r="D81" s="1">
        <v>10.98</v>
      </c>
      <c r="E81" s="1">
        <v>3.37</v>
      </c>
      <c r="F81" s="1">
        <v>144</v>
      </c>
      <c r="G81" s="1" t="s">
        <v>230</v>
      </c>
      <c r="H81" s="1" t="s">
        <v>49</v>
      </c>
      <c r="I81" s="1" t="s">
        <v>58</v>
      </c>
      <c r="J81" s="1" t="s">
        <v>29</v>
      </c>
      <c r="K81" s="1" t="s">
        <v>174</v>
      </c>
      <c r="L81" s="1" t="s">
        <v>51</v>
      </c>
      <c r="M81" s="1" t="s">
        <v>225</v>
      </c>
      <c r="N81" s="1">
        <v>0.56999999999999995</v>
      </c>
      <c r="O81" s="1" t="s">
        <v>33</v>
      </c>
      <c r="P81" s="1" t="s">
        <v>53</v>
      </c>
      <c r="Q81" s="1" t="s">
        <v>193</v>
      </c>
      <c r="R81" s="1" t="s">
        <v>231</v>
      </c>
      <c r="S81" s="1">
        <v>2664</v>
      </c>
      <c r="T81" s="2">
        <v>42157</v>
      </c>
      <c r="U81" s="2">
        <v>42158</v>
      </c>
      <c r="V81" s="3">
        <f t="shared" si="1"/>
        <v>53.42</v>
      </c>
      <c r="W81" s="1">
        <v>6</v>
      </c>
      <c r="X81" s="1">
        <v>64.400000000000006</v>
      </c>
      <c r="Y81" s="1">
        <v>91087</v>
      </c>
    </row>
    <row r="82" spans="1:25" x14ac:dyDescent="0.3">
      <c r="A82" s="1">
        <v>24849</v>
      </c>
      <c r="B82" s="1" t="s">
        <v>56</v>
      </c>
      <c r="C82" s="1">
        <v>0.06</v>
      </c>
      <c r="D82" s="1">
        <v>7.04</v>
      </c>
      <c r="E82" s="1">
        <v>2.17</v>
      </c>
      <c r="F82" s="1">
        <v>145</v>
      </c>
      <c r="G82" s="1" t="s">
        <v>232</v>
      </c>
      <c r="H82" s="1" t="s">
        <v>49</v>
      </c>
      <c r="I82" s="1" t="s">
        <v>58</v>
      </c>
      <c r="J82" s="1" t="s">
        <v>29</v>
      </c>
      <c r="K82" s="1" t="s">
        <v>93</v>
      </c>
      <c r="L82" s="1" t="s">
        <v>31</v>
      </c>
      <c r="M82" s="1" t="s">
        <v>233</v>
      </c>
      <c r="N82" s="1">
        <v>0.38</v>
      </c>
      <c r="O82" s="1" t="s">
        <v>33</v>
      </c>
      <c r="P82" s="1" t="s">
        <v>53</v>
      </c>
      <c r="Q82" s="1" t="s">
        <v>234</v>
      </c>
      <c r="R82" s="1" t="s">
        <v>235</v>
      </c>
      <c r="S82" s="1">
        <v>15122</v>
      </c>
      <c r="T82" s="2">
        <v>42019</v>
      </c>
      <c r="U82" s="2">
        <v>42021</v>
      </c>
      <c r="V82" s="3">
        <f t="shared" si="1"/>
        <v>7.61</v>
      </c>
      <c r="W82" s="1">
        <v>2</v>
      </c>
      <c r="X82" s="1">
        <v>14.65</v>
      </c>
      <c r="Y82" s="1">
        <v>91086</v>
      </c>
    </row>
    <row r="83" spans="1:25" x14ac:dyDescent="0.3">
      <c r="A83" s="1">
        <v>25582</v>
      </c>
      <c r="B83" s="1" t="s">
        <v>106</v>
      </c>
      <c r="C83" s="1">
        <v>7.0000000000000007E-2</v>
      </c>
      <c r="D83" s="1">
        <v>154.13</v>
      </c>
      <c r="E83" s="1">
        <v>69</v>
      </c>
      <c r="F83" s="1">
        <v>145</v>
      </c>
      <c r="G83" s="1" t="s">
        <v>232</v>
      </c>
      <c r="H83" s="1" t="s">
        <v>27</v>
      </c>
      <c r="I83" s="1" t="s">
        <v>40</v>
      </c>
      <c r="J83" s="1" t="s">
        <v>41</v>
      </c>
      <c r="K83" s="1" t="s">
        <v>152</v>
      </c>
      <c r="L83" s="1" t="s">
        <v>236</v>
      </c>
      <c r="M83" s="1" t="s">
        <v>237</v>
      </c>
      <c r="N83" s="1">
        <v>0.68</v>
      </c>
      <c r="O83" s="1" t="s">
        <v>33</v>
      </c>
      <c r="P83" s="1" t="s">
        <v>53</v>
      </c>
      <c r="Q83" s="1" t="s">
        <v>234</v>
      </c>
      <c r="R83" s="1" t="s">
        <v>235</v>
      </c>
      <c r="S83" s="1">
        <v>15122</v>
      </c>
      <c r="T83" s="2">
        <v>42079</v>
      </c>
      <c r="U83" s="2">
        <v>42079</v>
      </c>
      <c r="V83" s="3">
        <f t="shared" si="1"/>
        <v>299.49</v>
      </c>
      <c r="W83" s="1">
        <v>3</v>
      </c>
      <c r="X83" s="1">
        <v>453.62</v>
      </c>
      <c r="Y83" s="1">
        <v>91089</v>
      </c>
    </row>
    <row r="84" spans="1:25" x14ac:dyDescent="0.3">
      <c r="A84" s="1">
        <v>23365</v>
      </c>
      <c r="B84" s="1" t="s">
        <v>37</v>
      </c>
      <c r="C84" s="1">
        <v>0.01</v>
      </c>
      <c r="D84" s="1">
        <v>45.98</v>
      </c>
      <c r="E84" s="1">
        <v>4.8</v>
      </c>
      <c r="F84" s="1">
        <v>146</v>
      </c>
      <c r="G84" s="1" t="s">
        <v>238</v>
      </c>
      <c r="H84" s="1" t="s">
        <v>49</v>
      </c>
      <c r="I84" s="1" t="s">
        <v>58</v>
      </c>
      <c r="J84" s="1" t="s">
        <v>41</v>
      </c>
      <c r="K84" s="1" t="s">
        <v>50</v>
      </c>
      <c r="L84" s="1" t="s">
        <v>31</v>
      </c>
      <c r="M84" s="1" t="s">
        <v>239</v>
      </c>
      <c r="N84" s="1">
        <v>0.68</v>
      </c>
      <c r="O84" s="1" t="s">
        <v>33</v>
      </c>
      <c r="P84" s="1" t="s">
        <v>61</v>
      </c>
      <c r="Q84" s="1" t="s">
        <v>130</v>
      </c>
      <c r="R84" s="1" t="s">
        <v>240</v>
      </c>
      <c r="S84" s="1">
        <v>76148</v>
      </c>
      <c r="T84" s="2">
        <v>42075</v>
      </c>
      <c r="U84" s="2">
        <v>42076</v>
      </c>
      <c r="V84" s="3">
        <f t="shared" si="1"/>
        <v>147.61000000000001</v>
      </c>
      <c r="W84" s="1">
        <v>4</v>
      </c>
      <c r="X84" s="1">
        <v>193.59</v>
      </c>
      <c r="Y84" s="1">
        <v>91088</v>
      </c>
    </row>
    <row r="85" spans="1:25" x14ac:dyDescent="0.3">
      <c r="A85" s="1">
        <v>22907</v>
      </c>
      <c r="B85" s="1" t="s">
        <v>56</v>
      </c>
      <c r="C85" s="1">
        <v>0.06</v>
      </c>
      <c r="D85" s="1">
        <v>180.98</v>
      </c>
      <c r="E85" s="1">
        <v>26.2</v>
      </c>
      <c r="F85" s="1">
        <v>146</v>
      </c>
      <c r="G85" s="1" t="s">
        <v>238</v>
      </c>
      <c r="H85" s="1" t="s">
        <v>39</v>
      </c>
      <c r="I85" s="1" t="s">
        <v>28</v>
      </c>
      <c r="J85" s="1" t="s">
        <v>41</v>
      </c>
      <c r="K85" s="1" t="s">
        <v>42</v>
      </c>
      <c r="L85" s="1" t="s">
        <v>43</v>
      </c>
      <c r="M85" s="1" t="s">
        <v>241</v>
      </c>
      <c r="N85" s="1">
        <v>0.59</v>
      </c>
      <c r="O85" s="1" t="s">
        <v>33</v>
      </c>
      <c r="P85" s="1" t="s">
        <v>61</v>
      </c>
      <c r="Q85" s="1" t="s">
        <v>130</v>
      </c>
      <c r="R85" s="1" t="s">
        <v>240</v>
      </c>
      <c r="S85" s="1">
        <v>76148</v>
      </c>
      <c r="T85" s="2">
        <v>42117</v>
      </c>
      <c r="U85" s="2">
        <v>42118</v>
      </c>
      <c r="V85" s="3">
        <f t="shared" si="1"/>
        <v>748.59</v>
      </c>
      <c r="W85" s="1">
        <v>5</v>
      </c>
      <c r="X85" s="1">
        <v>929.57</v>
      </c>
      <c r="Y85" s="1">
        <v>91090</v>
      </c>
    </row>
    <row r="86" spans="1:25" x14ac:dyDescent="0.3">
      <c r="A86" s="1">
        <v>19058</v>
      </c>
      <c r="B86" s="1" t="s">
        <v>47</v>
      </c>
      <c r="C86" s="1">
        <v>0.09</v>
      </c>
      <c r="D86" s="1">
        <v>32.979999999999997</v>
      </c>
      <c r="E86" s="1">
        <v>5.5</v>
      </c>
      <c r="F86" s="1">
        <v>151</v>
      </c>
      <c r="G86" s="1" t="s">
        <v>242</v>
      </c>
      <c r="H86" s="1" t="s">
        <v>49</v>
      </c>
      <c r="I86" s="1" t="s">
        <v>40</v>
      </c>
      <c r="J86" s="1" t="s">
        <v>77</v>
      </c>
      <c r="K86" s="1" t="s">
        <v>180</v>
      </c>
      <c r="L86" s="1" t="s">
        <v>59</v>
      </c>
      <c r="M86" s="1" t="s">
        <v>243</v>
      </c>
      <c r="N86" s="1">
        <v>0.75</v>
      </c>
      <c r="O86" s="1" t="s">
        <v>33</v>
      </c>
      <c r="P86" s="1" t="s">
        <v>136</v>
      </c>
      <c r="Q86" s="1" t="s">
        <v>244</v>
      </c>
      <c r="R86" s="1" t="s">
        <v>245</v>
      </c>
      <c r="S86" s="1">
        <v>37664</v>
      </c>
      <c r="T86" s="2">
        <v>42026</v>
      </c>
      <c r="U86" s="2">
        <v>42027</v>
      </c>
      <c r="V86" s="3">
        <f t="shared" si="1"/>
        <v>29.480000000000004</v>
      </c>
      <c r="W86" s="1">
        <v>2</v>
      </c>
      <c r="X86" s="1">
        <v>62.46</v>
      </c>
      <c r="Y86" s="1">
        <v>89521</v>
      </c>
    </row>
    <row r="87" spans="1:25" x14ac:dyDescent="0.3">
      <c r="A87" s="1">
        <v>20679</v>
      </c>
      <c r="B87" s="1" t="s">
        <v>25</v>
      </c>
      <c r="C87" s="1">
        <v>0.09</v>
      </c>
      <c r="D87" s="1">
        <v>5.98</v>
      </c>
      <c r="E87" s="1">
        <v>2.5</v>
      </c>
      <c r="F87" s="1">
        <v>151</v>
      </c>
      <c r="G87" s="1" t="s">
        <v>242</v>
      </c>
      <c r="H87" s="1" t="s">
        <v>49</v>
      </c>
      <c r="I87" s="1" t="s">
        <v>40</v>
      </c>
      <c r="J87" s="1" t="s">
        <v>29</v>
      </c>
      <c r="K87" s="1" t="s">
        <v>69</v>
      </c>
      <c r="L87" s="1" t="s">
        <v>59</v>
      </c>
      <c r="M87" s="1" t="s">
        <v>246</v>
      </c>
      <c r="N87" s="1">
        <v>0.36</v>
      </c>
      <c r="O87" s="1" t="s">
        <v>33</v>
      </c>
      <c r="P87" s="1" t="s">
        <v>136</v>
      </c>
      <c r="Q87" s="1" t="s">
        <v>244</v>
      </c>
      <c r="R87" s="1" t="s">
        <v>245</v>
      </c>
      <c r="S87" s="1">
        <v>37664</v>
      </c>
      <c r="T87" s="2">
        <v>42114</v>
      </c>
      <c r="U87" s="2">
        <v>42116</v>
      </c>
      <c r="V87" s="3">
        <f t="shared" si="1"/>
        <v>22.13</v>
      </c>
      <c r="W87" s="1">
        <v>5</v>
      </c>
      <c r="X87" s="1">
        <v>28.11</v>
      </c>
      <c r="Y87" s="1">
        <v>89523</v>
      </c>
    </row>
    <row r="88" spans="1:25" x14ac:dyDescent="0.3">
      <c r="A88" s="1">
        <v>21103</v>
      </c>
      <c r="B88" s="1" t="s">
        <v>47</v>
      </c>
      <c r="C88" s="1">
        <v>0.09</v>
      </c>
      <c r="D88" s="1">
        <v>2.88</v>
      </c>
      <c r="E88" s="1">
        <v>0.7</v>
      </c>
      <c r="F88" s="1">
        <v>152</v>
      </c>
      <c r="G88" s="1" t="s">
        <v>247</v>
      </c>
      <c r="H88" s="1" t="s">
        <v>49</v>
      </c>
      <c r="I88" s="1" t="s">
        <v>114</v>
      </c>
      <c r="J88" s="1" t="s">
        <v>29</v>
      </c>
      <c r="K88" s="1" t="s">
        <v>30</v>
      </c>
      <c r="L88" s="1" t="s">
        <v>31</v>
      </c>
      <c r="M88" s="1" t="s">
        <v>248</v>
      </c>
      <c r="N88" s="1">
        <v>0.56000000000000005</v>
      </c>
      <c r="O88" s="1" t="s">
        <v>33</v>
      </c>
      <c r="P88" s="1" t="s">
        <v>136</v>
      </c>
      <c r="Q88" s="1" t="s">
        <v>244</v>
      </c>
      <c r="R88" s="1" t="s">
        <v>249</v>
      </c>
      <c r="S88" s="1">
        <v>37918</v>
      </c>
      <c r="T88" s="2">
        <v>42019</v>
      </c>
      <c r="U88" s="2">
        <v>42020</v>
      </c>
      <c r="V88" s="3">
        <f t="shared" si="1"/>
        <v>2.62</v>
      </c>
      <c r="W88" s="1">
        <v>2</v>
      </c>
      <c r="X88" s="1">
        <v>5.5</v>
      </c>
      <c r="Y88" s="1">
        <v>89520</v>
      </c>
    </row>
    <row r="89" spans="1:25" x14ac:dyDescent="0.3">
      <c r="A89" s="1">
        <v>22243</v>
      </c>
      <c r="B89" s="1" t="s">
        <v>106</v>
      </c>
      <c r="C89" s="1">
        <v>0.01</v>
      </c>
      <c r="D89" s="1">
        <v>79.52</v>
      </c>
      <c r="E89" s="1">
        <v>48.2</v>
      </c>
      <c r="F89" s="1">
        <v>152</v>
      </c>
      <c r="G89" s="1" t="s">
        <v>247</v>
      </c>
      <c r="H89" s="1" t="s">
        <v>49</v>
      </c>
      <c r="I89" s="1" t="s">
        <v>40</v>
      </c>
      <c r="J89" s="1" t="s">
        <v>41</v>
      </c>
      <c r="K89" s="1" t="s">
        <v>50</v>
      </c>
      <c r="L89" s="1" t="s">
        <v>86</v>
      </c>
      <c r="M89" s="1" t="s">
        <v>250</v>
      </c>
      <c r="N89" s="1">
        <v>0.74</v>
      </c>
      <c r="O89" s="1" t="s">
        <v>33</v>
      </c>
      <c r="P89" s="1" t="s">
        <v>136</v>
      </c>
      <c r="Q89" s="1" t="s">
        <v>244</v>
      </c>
      <c r="R89" s="1" t="s">
        <v>249</v>
      </c>
      <c r="S89" s="1">
        <v>37918</v>
      </c>
      <c r="T89" s="2">
        <v>42113</v>
      </c>
      <c r="U89" s="2">
        <v>42120</v>
      </c>
      <c r="V89" s="3">
        <f t="shared" si="1"/>
        <v>588.32000000000005</v>
      </c>
      <c r="W89" s="1">
        <v>8</v>
      </c>
      <c r="X89" s="1">
        <v>667.84</v>
      </c>
      <c r="Y89" s="1">
        <v>89522</v>
      </c>
    </row>
    <row r="90" spans="1:25" x14ac:dyDescent="0.3">
      <c r="A90" s="1">
        <v>21767</v>
      </c>
      <c r="B90" s="1" t="s">
        <v>25</v>
      </c>
      <c r="C90" s="1">
        <v>0.01</v>
      </c>
      <c r="D90" s="1">
        <v>65.989999999999995</v>
      </c>
      <c r="E90" s="1">
        <v>8.99</v>
      </c>
      <c r="F90" s="1">
        <v>152</v>
      </c>
      <c r="G90" s="1" t="s">
        <v>247</v>
      </c>
      <c r="H90" s="1" t="s">
        <v>49</v>
      </c>
      <c r="I90" s="1" t="s">
        <v>114</v>
      </c>
      <c r="J90" s="1" t="s">
        <v>77</v>
      </c>
      <c r="K90" s="1" t="s">
        <v>78</v>
      </c>
      <c r="L90" s="1" t="s">
        <v>59</v>
      </c>
      <c r="M90" s="1" t="s">
        <v>251</v>
      </c>
      <c r="N90" s="1">
        <v>0.6</v>
      </c>
      <c r="O90" s="1" t="s">
        <v>33</v>
      </c>
      <c r="P90" s="1" t="s">
        <v>136</v>
      </c>
      <c r="Q90" s="1" t="s">
        <v>244</v>
      </c>
      <c r="R90" s="1" t="s">
        <v>249</v>
      </c>
      <c r="S90" s="1">
        <v>37918</v>
      </c>
      <c r="T90" s="2">
        <v>42092</v>
      </c>
      <c r="U90" s="2">
        <v>42095</v>
      </c>
      <c r="V90" s="3">
        <f t="shared" si="1"/>
        <v>226.24</v>
      </c>
      <c r="W90" s="1">
        <v>5</v>
      </c>
      <c r="X90" s="1">
        <v>292.23</v>
      </c>
      <c r="Y90" s="1">
        <v>89524</v>
      </c>
    </row>
    <row r="91" spans="1:25" x14ac:dyDescent="0.3">
      <c r="A91" s="1">
        <v>22470</v>
      </c>
      <c r="B91" s="1" t="s">
        <v>106</v>
      </c>
      <c r="C91" s="1">
        <v>0.1</v>
      </c>
      <c r="D91" s="1">
        <v>39.979999999999997</v>
      </c>
      <c r="E91" s="1">
        <v>4</v>
      </c>
      <c r="F91" s="1">
        <v>152</v>
      </c>
      <c r="G91" s="1" t="s">
        <v>247</v>
      </c>
      <c r="H91" s="1" t="s">
        <v>49</v>
      </c>
      <c r="I91" s="1" t="s">
        <v>58</v>
      </c>
      <c r="J91" s="1" t="s">
        <v>77</v>
      </c>
      <c r="K91" s="1" t="s">
        <v>180</v>
      </c>
      <c r="L91" s="1" t="s">
        <v>59</v>
      </c>
      <c r="M91" s="1" t="s">
        <v>252</v>
      </c>
      <c r="N91" s="1">
        <v>0.7</v>
      </c>
      <c r="O91" s="1" t="s">
        <v>33</v>
      </c>
      <c r="P91" s="1" t="s">
        <v>136</v>
      </c>
      <c r="Q91" s="1" t="s">
        <v>244</v>
      </c>
      <c r="R91" s="1" t="s">
        <v>249</v>
      </c>
      <c r="S91" s="1">
        <v>37918</v>
      </c>
      <c r="T91" s="2">
        <v>42173</v>
      </c>
      <c r="U91" s="2">
        <v>42177</v>
      </c>
      <c r="V91" s="3">
        <f t="shared" si="1"/>
        <v>732.57999999999993</v>
      </c>
      <c r="W91" s="1">
        <v>21</v>
      </c>
      <c r="X91" s="1">
        <v>772.56</v>
      </c>
      <c r="Y91" s="1">
        <v>89525</v>
      </c>
    </row>
    <row r="92" spans="1:25" x14ac:dyDescent="0.3">
      <c r="A92" s="1">
        <v>22329</v>
      </c>
      <c r="B92" s="1" t="s">
        <v>47</v>
      </c>
      <c r="C92" s="1">
        <v>0.01</v>
      </c>
      <c r="D92" s="1">
        <v>95.99</v>
      </c>
      <c r="E92" s="1">
        <v>4.9000000000000004</v>
      </c>
      <c r="F92" s="1">
        <v>156</v>
      </c>
      <c r="G92" s="1" t="s">
        <v>253</v>
      </c>
      <c r="H92" s="1" t="s">
        <v>49</v>
      </c>
      <c r="I92" s="1" t="s">
        <v>28</v>
      </c>
      <c r="J92" s="1" t="s">
        <v>77</v>
      </c>
      <c r="K92" s="1" t="s">
        <v>78</v>
      </c>
      <c r="L92" s="1" t="s">
        <v>59</v>
      </c>
      <c r="M92" s="1" t="s">
        <v>254</v>
      </c>
      <c r="N92" s="1">
        <v>0.56000000000000005</v>
      </c>
      <c r="O92" s="1" t="s">
        <v>33</v>
      </c>
      <c r="P92" s="1" t="s">
        <v>34</v>
      </c>
      <c r="Q92" s="1" t="s">
        <v>255</v>
      </c>
      <c r="R92" s="1" t="s">
        <v>256</v>
      </c>
      <c r="S92" s="1">
        <v>80525</v>
      </c>
      <c r="T92" s="2">
        <v>42138</v>
      </c>
      <c r="U92" s="2">
        <v>42139</v>
      </c>
      <c r="V92" s="3">
        <f t="shared" si="1"/>
        <v>954.08999999999992</v>
      </c>
      <c r="W92" s="1">
        <v>13</v>
      </c>
      <c r="X92" s="1">
        <v>1050.08</v>
      </c>
      <c r="Y92" s="1">
        <v>87671</v>
      </c>
    </row>
    <row r="93" spans="1:25" x14ac:dyDescent="0.3">
      <c r="A93" s="1">
        <v>20324</v>
      </c>
      <c r="B93" s="1" t="s">
        <v>25</v>
      </c>
      <c r="C93" s="1">
        <v>0.03</v>
      </c>
      <c r="D93" s="1">
        <v>10.89</v>
      </c>
      <c r="E93" s="1">
        <v>4.5</v>
      </c>
      <c r="F93" s="1">
        <v>156</v>
      </c>
      <c r="G93" s="1" t="s">
        <v>253</v>
      </c>
      <c r="H93" s="1" t="s">
        <v>49</v>
      </c>
      <c r="I93" s="1" t="s">
        <v>28</v>
      </c>
      <c r="J93" s="1" t="s">
        <v>29</v>
      </c>
      <c r="K93" s="1" t="s">
        <v>257</v>
      </c>
      <c r="L93" s="1" t="s">
        <v>59</v>
      </c>
      <c r="M93" s="1" t="s">
        <v>258</v>
      </c>
      <c r="N93" s="1">
        <v>0.59</v>
      </c>
      <c r="O93" s="1" t="s">
        <v>33</v>
      </c>
      <c r="P93" s="1" t="s">
        <v>34</v>
      </c>
      <c r="Q93" s="1" t="s">
        <v>255</v>
      </c>
      <c r="R93" s="1" t="s">
        <v>256</v>
      </c>
      <c r="S93" s="1">
        <v>80525</v>
      </c>
      <c r="T93" s="2">
        <v>42029</v>
      </c>
      <c r="U93" s="2">
        <v>42030</v>
      </c>
      <c r="V93" s="3">
        <f t="shared" si="1"/>
        <v>22.93</v>
      </c>
      <c r="W93" s="1">
        <v>3</v>
      </c>
      <c r="X93" s="1">
        <v>33.82</v>
      </c>
      <c r="Y93" s="1">
        <v>87672</v>
      </c>
    </row>
    <row r="94" spans="1:25" x14ac:dyDescent="0.3">
      <c r="A94" s="1">
        <v>26102</v>
      </c>
      <c r="B94" s="1" t="s">
        <v>56</v>
      </c>
      <c r="C94" s="1">
        <v>0.05</v>
      </c>
      <c r="D94" s="1">
        <v>100.98</v>
      </c>
      <c r="E94" s="1">
        <v>35.840000000000003</v>
      </c>
      <c r="F94" s="1">
        <v>164</v>
      </c>
      <c r="G94" s="1" t="s">
        <v>259</v>
      </c>
      <c r="H94" s="1" t="s">
        <v>39</v>
      </c>
      <c r="I94" s="1" t="s">
        <v>40</v>
      </c>
      <c r="J94" s="1" t="s">
        <v>41</v>
      </c>
      <c r="K94" s="1" t="s">
        <v>191</v>
      </c>
      <c r="L94" s="1" t="s">
        <v>121</v>
      </c>
      <c r="M94" s="1" t="s">
        <v>260</v>
      </c>
      <c r="N94" s="1">
        <v>0.62</v>
      </c>
      <c r="O94" s="1" t="s">
        <v>33</v>
      </c>
      <c r="P94" s="1" t="s">
        <v>34</v>
      </c>
      <c r="Q94" s="1" t="s">
        <v>35</v>
      </c>
      <c r="R94" s="1" t="s">
        <v>261</v>
      </c>
      <c r="S94" s="1">
        <v>99352</v>
      </c>
      <c r="T94" s="2">
        <v>42006</v>
      </c>
      <c r="U94" s="2">
        <v>42008</v>
      </c>
      <c r="V94" s="3">
        <f t="shared" si="1"/>
        <v>614.56999999999994</v>
      </c>
      <c r="W94" s="1">
        <v>7</v>
      </c>
      <c r="X94" s="1">
        <v>715.55</v>
      </c>
      <c r="Y94" s="1">
        <v>89961</v>
      </c>
    </row>
    <row r="95" spans="1:25" x14ac:dyDescent="0.3">
      <c r="A95" s="1">
        <v>26103</v>
      </c>
      <c r="B95" s="1" t="s">
        <v>56</v>
      </c>
      <c r="C95" s="1">
        <v>0.02</v>
      </c>
      <c r="D95" s="1">
        <v>4.9800000000000004</v>
      </c>
      <c r="E95" s="1">
        <v>5.49</v>
      </c>
      <c r="F95" s="1">
        <v>164</v>
      </c>
      <c r="G95" s="1" t="s">
        <v>259</v>
      </c>
      <c r="H95" s="1" t="s">
        <v>49</v>
      </c>
      <c r="I95" s="1" t="s">
        <v>40</v>
      </c>
      <c r="J95" s="1" t="s">
        <v>29</v>
      </c>
      <c r="K95" s="1" t="s">
        <v>93</v>
      </c>
      <c r="L95" s="1" t="s">
        <v>59</v>
      </c>
      <c r="M95" s="1" t="s">
        <v>262</v>
      </c>
      <c r="N95" s="1">
        <v>0.38</v>
      </c>
      <c r="O95" s="1" t="s">
        <v>33</v>
      </c>
      <c r="P95" s="1" t="s">
        <v>34</v>
      </c>
      <c r="Q95" s="1" t="s">
        <v>35</v>
      </c>
      <c r="R95" s="1" t="s">
        <v>261</v>
      </c>
      <c r="S95" s="1">
        <v>99352</v>
      </c>
      <c r="T95" s="2">
        <v>42006</v>
      </c>
      <c r="U95" s="2">
        <v>42007</v>
      </c>
      <c r="V95" s="3">
        <f t="shared" si="1"/>
        <v>40.650000000000006</v>
      </c>
      <c r="W95" s="1">
        <v>9</v>
      </c>
      <c r="X95" s="1">
        <v>45.63</v>
      </c>
      <c r="Y95" s="1">
        <v>89961</v>
      </c>
    </row>
    <row r="96" spans="1:25" x14ac:dyDescent="0.3">
      <c r="A96" s="1">
        <v>21040</v>
      </c>
      <c r="B96" s="1" t="s">
        <v>106</v>
      </c>
      <c r="C96" s="1">
        <v>0.08</v>
      </c>
      <c r="D96" s="1">
        <v>399.98</v>
      </c>
      <c r="E96" s="1">
        <v>12.06</v>
      </c>
      <c r="F96" s="1">
        <v>166</v>
      </c>
      <c r="G96" s="1" t="s">
        <v>263</v>
      </c>
      <c r="H96" s="1" t="s">
        <v>39</v>
      </c>
      <c r="I96" s="1" t="s">
        <v>114</v>
      </c>
      <c r="J96" s="1" t="s">
        <v>77</v>
      </c>
      <c r="K96" s="1" t="s">
        <v>85</v>
      </c>
      <c r="L96" s="1" t="s">
        <v>121</v>
      </c>
      <c r="M96" s="1" t="s">
        <v>264</v>
      </c>
      <c r="N96" s="1">
        <v>0.56000000000000005</v>
      </c>
      <c r="O96" s="1" t="s">
        <v>33</v>
      </c>
      <c r="P96" s="1" t="s">
        <v>136</v>
      </c>
      <c r="Q96" s="1" t="s">
        <v>244</v>
      </c>
      <c r="R96" s="1" t="s">
        <v>265</v>
      </c>
      <c r="S96" s="1">
        <v>37087</v>
      </c>
      <c r="T96" s="2">
        <v>42015</v>
      </c>
      <c r="U96" s="2">
        <v>42022</v>
      </c>
      <c r="V96" s="3">
        <f t="shared" si="1"/>
        <v>1439.93</v>
      </c>
      <c r="W96" s="1">
        <v>5</v>
      </c>
      <c r="X96" s="1">
        <v>1839.91</v>
      </c>
      <c r="Y96" s="1">
        <v>89426</v>
      </c>
    </row>
    <row r="97" spans="1:25" x14ac:dyDescent="0.3">
      <c r="A97" s="1">
        <v>19315</v>
      </c>
      <c r="B97" s="1" t="s">
        <v>106</v>
      </c>
      <c r="C97" s="1">
        <v>0.08</v>
      </c>
      <c r="D97" s="1">
        <v>43.22</v>
      </c>
      <c r="E97" s="1">
        <v>16.71</v>
      </c>
      <c r="F97" s="1">
        <v>169</v>
      </c>
      <c r="G97" s="1" t="s">
        <v>266</v>
      </c>
      <c r="H97" s="1" t="s">
        <v>49</v>
      </c>
      <c r="I97" s="1" t="s">
        <v>28</v>
      </c>
      <c r="J97" s="1" t="s">
        <v>77</v>
      </c>
      <c r="K97" s="1" t="s">
        <v>180</v>
      </c>
      <c r="L97" s="1" t="s">
        <v>59</v>
      </c>
      <c r="M97" s="1" t="s">
        <v>267</v>
      </c>
      <c r="N97" s="1">
        <v>0.66</v>
      </c>
      <c r="O97" s="1" t="s">
        <v>33</v>
      </c>
      <c r="P97" s="1" t="s">
        <v>136</v>
      </c>
      <c r="Q97" s="1" t="s">
        <v>171</v>
      </c>
      <c r="R97" s="1" t="s">
        <v>268</v>
      </c>
      <c r="S97" s="1">
        <v>70802</v>
      </c>
      <c r="T97" s="2">
        <v>42007</v>
      </c>
      <c r="U97" s="2">
        <v>42009</v>
      </c>
      <c r="V97" s="3">
        <f t="shared" si="1"/>
        <v>87.4</v>
      </c>
      <c r="W97" s="1">
        <v>3</v>
      </c>
      <c r="X97" s="1">
        <v>130.62</v>
      </c>
      <c r="Y97" s="1">
        <v>87463</v>
      </c>
    </row>
    <row r="98" spans="1:25" x14ac:dyDescent="0.3">
      <c r="A98" s="1">
        <v>19316</v>
      </c>
      <c r="B98" s="1" t="s">
        <v>106</v>
      </c>
      <c r="C98" s="1">
        <v>0.05</v>
      </c>
      <c r="D98" s="1">
        <v>574.74</v>
      </c>
      <c r="E98" s="1">
        <v>24.49</v>
      </c>
      <c r="F98" s="1">
        <v>169</v>
      </c>
      <c r="G98" s="1" t="s">
        <v>266</v>
      </c>
      <c r="H98" s="1" t="s">
        <v>49</v>
      </c>
      <c r="I98" s="1" t="s">
        <v>28</v>
      </c>
      <c r="J98" s="1" t="s">
        <v>77</v>
      </c>
      <c r="K98" s="1" t="s">
        <v>85</v>
      </c>
      <c r="L98" s="1" t="s">
        <v>236</v>
      </c>
      <c r="M98" s="1" t="s">
        <v>269</v>
      </c>
      <c r="N98" s="1">
        <v>0.37</v>
      </c>
      <c r="O98" s="1" t="s">
        <v>33</v>
      </c>
      <c r="P98" s="1" t="s">
        <v>136</v>
      </c>
      <c r="Q98" s="1" t="s">
        <v>171</v>
      </c>
      <c r="R98" s="1" t="s">
        <v>268</v>
      </c>
      <c r="S98" s="1">
        <v>70802</v>
      </c>
      <c r="T98" s="2">
        <v>42007</v>
      </c>
      <c r="U98" s="2">
        <v>42014</v>
      </c>
      <c r="V98" s="3">
        <f t="shared" si="1"/>
        <v>6370.42</v>
      </c>
      <c r="W98" s="1">
        <v>12</v>
      </c>
      <c r="X98" s="1">
        <v>6945.16</v>
      </c>
      <c r="Y98" s="1">
        <v>87463</v>
      </c>
    </row>
    <row r="99" spans="1:25" x14ac:dyDescent="0.3">
      <c r="A99" s="1">
        <v>19317</v>
      </c>
      <c r="B99" s="1" t="s">
        <v>106</v>
      </c>
      <c r="C99" s="1">
        <v>0.04</v>
      </c>
      <c r="D99" s="1">
        <v>10.14</v>
      </c>
      <c r="E99" s="1">
        <v>2.27</v>
      </c>
      <c r="F99" s="1">
        <v>169</v>
      </c>
      <c r="G99" s="1" t="s">
        <v>266</v>
      </c>
      <c r="H99" s="1" t="s">
        <v>49</v>
      </c>
      <c r="I99" s="1" t="s">
        <v>28</v>
      </c>
      <c r="J99" s="1" t="s">
        <v>29</v>
      </c>
      <c r="K99" s="1" t="s">
        <v>93</v>
      </c>
      <c r="L99" s="1" t="s">
        <v>31</v>
      </c>
      <c r="M99" s="1" t="s">
        <v>270</v>
      </c>
      <c r="N99" s="1">
        <v>0.36</v>
      </c>
      <c r="O99" s="1" t="s">
        <v>33</v>
      </c>
      <c r="P99" s="1" t="s">
        <v>136</v>
      </c>
      <c r="Q99" s="1" t="s">
        <v>171</v>
      </c>
      <c r="R99" s="1" t="s">
        <v>268</v>
      </c>
      <c r="S99" s="1">
        <v>70802</v>
      </c>
      <c r="T99" s="2">
        <v>42007</v>
      </c>
      <c r="U99" s="2">
        <v>42011</v>
      </c>
      <c r="V99" s="3">
        <f t="shared" si="1"/>
        <v>20.8</v>
      </c>
      <c r="W99" s="1">
        <v>3</v>
      </c>
      <c r="X99" s="1">
        <v>30.94</v>
      </c>
      <c r="Y99" s="1">
        <v>87463</v>
      </c>
    </row>
    <row r="100" spans="1:25" x14ac:dyDescent="0.3">
      <c r="A100" s="1">
        <v>19314</v>
      </c>
      <c r="B100" s="1" t="s">
        <v>47</v>
      </c>
      <c r="C100" s="1">
        <v>0.05</v>
      </c>
      <c r="D100" s="1">
        <v>1.88</v>
      </c>
      <c r="E100" s="1">
        <v>1.49</v>
      </c>
      <c r="F100" s="1">
        <v>171</v>
      </c>
      <c r="G100" s="1" t="s">
        <v>271</v>
      </c>
      <c r="H100" s="1" t="s">
        <v>49</v>
      </c>
      <c r="I100" s="1" t="s">
        <v>28</v>
      </c>
      <c r="J100" s="1" t="s">
        <v>29</v>
      </c>
      <c r="K100" s="1" t="s">
        <v>109</v>
      </c>
      <c r="L100" s="1" t="s">
        <v>59</v>
      </c>
      <c r="M100" s="1" t="s">
        <v>272</v>
      </c>
      <c r="N100" s="1">
        <v>0.37</v>
      </c>
      <c r="O100" s="1" t="s">
        <v>33</v>
      </c>
      <c r="P100" s="1" t="s">
        <v>53</v>
      </c>
      <c r="Q100" s="1" t="s">
        <v>54</v>
      </c>
      <c r="R100" s="1" t="s">
        <v>273</v>
      </c>
      <c r="S100" s="1">
        <v>7024</v>
      </c>
      <c r="T100" s="2">
        <v>42107</v>
      </c>
      <c r="U100" s="2">
        <v>42109</v>
      </c>
      <c r="V100" s="3">
        <f t="shared" si="1"/>
        <v>1.54</v>
      </c>
      <c r="W100" s="1">
        <v>1</v>
      </c>
      <c r="X100" s="1">
        <v>3.42</v>
      </c>
      <c r="Y100" s="1">
        <v>87464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by region chart</vt:lpstr>
      <vt:lpstr>Sales by product chart</vt:lpstr>
      <vt:lpstr>Profit by Region Chart </vt:lpstr>
      <vt:lpstr>Sales Performance Dashboard2024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Sarika mane</dc:creator>
  <cp:lastModifiedBy>Sarika mane</cp:lastModifiedBy>
  <dcterms:created xsi:type="dcterms:W3CDTF">2026-03-04T12:47:31Z</dcterms:created>
  <dcterms:modified xsi:type="dcterms:W3CDTF">2026-03-04T14:50:07Z</dcterms:modified>
</cp:coreProperties>
</file>